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 2020\Documents\PUBLICO\ASEOS\Listas Complementarias 2026\Lista #9 Agosto-Septiembre\Puntomania\"/>
    </mc:Choice>
  </mc:AlternateContent>
  <xr:revisionPtr revIDLastSave="0" documentId="13_ncr:1_{CB6DDCE1-F276-4F75-A5A2-9DF5B7371826}" xr6:coauthVersionLast="47" xr6:coauthVersionMax="47" xr10:uidLastSave="{00000000-0000-0000-0000-000000000000}"/>
  <bookViews>
    <workbookView xWindow="-110" yWindow="-110" windowWidth="19420" windowHeight="10300" xr2:uid="{08B5C3F0-429F-47ED-A23E-478FB21F0E1D}"/>
  </bookViews>
  <sheets>
    <sheet name="Lista puntomania" sheetId="1" r:id="rId1"/>
  </sheets>
  <definedNames>
    <definedName name="_xlnm._FilterDatabase" localSheetId="0" hidden="1">'Lista puntomania'!$A$2:$N$637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J12" i="1"/>
  <c r="K12" i="1" s="1"/>
  <c r="K16" i="1"/>
  <c r="K17" i="1"/>
  <c r="K18" i="1"/>
  <c r="K19" i="1"/>
  <c r="K20" i="1"/>
  <c r="J21" i="1"/>
  <c r="J22" i="1" s="1"/>
  <c r="J23" i="1" s="1"/>
  <c r="K22" i="1"/>
  <c r="K39" i="1"/>
  <c r="K40" i="1"/>
  <c r="K41" i="1"/>
  <c r="K42" i="1"/>
  <c r="J43" i="1"/>
  <c r="K45" i="1"/>
  <c r="K46" i="1"/>
  <c r="K47" i="1"/>
  <c r="K48" i="1"/>
  <c r="K49" i="1"/>
  <c r="K50" i="1"/>
  <c r="K51" i="1"/>
  <c r="J52" i="1"/>
  <c r="K52" i="1" s="1"/>
  <c r="K57" i="1"/>
  <c r="K58" i="1"/>
  <c r="K59" i="1"/>
  <c r="K60" i="1"/>
  <c r="J61" i="1"/>
  <c r="J62" i="1" s="1"/>
  <c r="K62" i="1" s="1"/>
  <c r="K68" i="1"/>
  <c r="K69" i="1"/>
  <c r="K70" i="1"/>
  <c r="J71" i="1"/>
  <c r="J72" i="1" s="1"/>
  <c r="K72" i="1" s="1"/>
  <c r="K76" i="1"/>
  <c r="K77" i="1"/>
  <c r="K78" i="1"/>
  <c r="K79" i="1"/>
  <c r="K80" i="1"/>
  <c r="J81" i="1"/>
  <c r="J82" i="1" s="1"/>
  <c r="K82" i="1" s="1"/>
  <c r="K84" i="1"/>
  <c r="K85" i="1"/>
  <c r="K86" i="1"/>
  <c r="K87" i="1"/>
  <c r="K88" i="1"/>
  <c r="K89" i="1"/>
  <c r="J90" i="1"/>
  <c r="K90" i="1" s="1"/>
  <c r="K96" i="1"/>
  <c r="K97" i="1"/>
  <c r="K98" i="1"/>
  <c r="J99" i="1"/>
  <c r="K106" i="1"/>
  <c r="K107" i="1"/>
  <c r="K108" i="1"/>
  <c r="J109" i="1"/>
  <c r="J110" i="1" s="1"/>
  <c r="K110" i="1" s="1"/>
  <c r="K125" i="1"/>
  <c r="K126" i="1"/>
  <c r="K127" i="1"/>
  <c r="J128" i="1"/>
  <c r="K128" i="1" s="1"/>
  <c r="J129" i="1"/>
  <c r="J130" i="1" s="1"/>
  <c r="J131" i="1" s="1"/>
  <c r="K140" i="1"/>
  <c r="K141" i="1"/>
  <c r="K142" i="1"/>
  <c r="K143" i="1"/>
  <c r="K144" i="1"/>
  <c r="K145" i="1"/>
  <c r="K146" i="1"/>
  <c r="J147" i="1"/>
  <c r="K155" i="1"/>
  <c r="K156" i="1"/>
  <c r="K157" i="1"/>
  <c r="K158" i="1"/>
  <c r="K159" i="1"/>
  <c r="K160" i="1"/>
  <c r="J161" i="1"/>
  <c r="J162" i="1" s="1"/>
  <c r="K161" i="1"/>
  <c r="K162" i="1"/>
  <c r="J163" i="1"/>
  <c r="J164" i="1" s="1"/>
  <c r="K164" i="1" s="1"/>
  <c r="K168" i="1"/>
  <c r="K169" i="1"/>
  <c r="J170" i="1"/>
  <c r="K170" i="1" s="1"/>
  <c r="K182" i="1"/>
  <c r="K183" i="1"/>
  <c r="K184" i="1"/>
  <c r="J185" i="1"/>
  <c r="J186" i="1" s="1"/>
  <c r="K186" i="1" s="1"/>
  <c r="K199" i="1"/>
  <c r="K200" i="1"/>
  <c r="K201" i="1"/>
  <c r="K202" i="1"/>
  <c r="K203" i="1"/>
  <c r="J204" i="1"/>
  <c r="K204" i="1" s="1"/>
  <c r="J205" i="1"/>
  <c r="J206" i="1" s="1"/>
  <c r="J207" i="1" s="1"/>
  <c r="K220" i="1"/>
  <c r="K221" i="1"/>
  <c r="K222" i="1"/>
  <c r="J223" i="1"/>
  <c r="J224" i="1" s="1"/>
  <c r="K224" i="1" s="1"/>
  <c r="K233" i="1"/>
  <c r="K234" i="1"/>
  <c r="K235" i="1"/>
  <c r="K236" i="1"/>
  <c r="K237" i="1"/>
  <c r="J238" i="1"/>
  <c r="K238" i="1" s="1"/>
  <c r="K244" i="1"/>
  <c r="K245" i="1"/>
  <c r="K246" i="1"/>
  <c r="K247" i="1"/>
  <c r="K248" i="1"/>
  <c r="J249" i="1"/>
  <c r="J250" i="1" s="1"/>
  <c r="K250" i="1" s="1"/>
  <c r="K262" i="1"/>
  <c r="K263" i="1"/>
  <c r="J264" i="1"/>
  <c r="K264" i="1" s="1"/>
  <c r="K272" i="1"/>
  <c r="K273" i="1"/>
  <c r="J274" i="1"/>
  <c r="K274" i="1" s="1"/>
  <c r="K280" i="1"/>
  <c r="K281" i="1"/>
  <c r="K282" i="1"/>
  <c r="K283" i="1"/>
  <c r="J284" i="1"/>
  <c r="K284" i="1" s="1"/>
  <c r="K292" i="1"/>
  <c r="K293" i="1"/>
  <c r="K294" i="1"/>
  <c r="J295" i="1"/>
  <c r="J296" i="1" s="1"/>
  <c r="K296" i="1" s="1"/>
  <c r="K295" i="1"/>
  <c r="K301" i="1"/>
  <c r="K302" i="1"/>
  <c r="K303" i="1"/>
  <c r="K304" i="1"/>
  <c r="J305" i="1"/>
  <c r="J306" i="1" s="1"/>
  <c r="K315" i="1"/>
  <c r="K316" i="1"/>
  <c r="K317" i="1"/>
  <c r="K318" i="1"/>
  <c r="J319" i="1"/>
  <c r="J320" i="1" s="1"/>
  <c r="K320" i="1" s="1"/>
  <c r="K322" i="1"/>
  <c r="K323" i="1"/>
  <c r="K324" i="1"/>
  <c r="K325" i="1"/>
  <c r="K326" i="1"/>
  <c r="K327" i="1"/>
  <c r="K328" i="1"/>
  <c r="K329" i="1"/>
  <c r="J330" i="1"/>
  <c r="K330" i="1" s="1"/>
  <c r="K334" i="1"/>
  <c r="K335" i="1"/>
  <c r="K336" i="1"/>
  <c r="K337" i="1"/>
  <c r="J338" i="1"/>
  <c r="J339" i="1" s="1"/>
  <c r="K341" i="1"/>
  <c r="K342" i="1"/>
  <c r="K343" i="1"/>
  <c r="K344" i="1"/>
  <c r="K345" i="1"/>
  <c r="K346" i="1"/>
  <c r="K347" i="1"/>
  <c r="K348" i="1"/>
  <c r="K349" i="1"/>
  <c r="J350" i="1"/>
  <c r="K350" i="1" s="1"/>
  <c r="K357" i="1"/>
  <c r="K358" i="1"/>
  <c r="K359" i="1"/>
  <c r="K360" i="1"/>
  <c r="K361" i="1"/>
  <c r="J362" i="1"/>
  <c r="K362" i="1" s="1"/>
  <c r="K370" i="1"/>
  <c r="K371" i="1"/>
  <c r="K372" i="1"/>
  <c r="K373" i="1"/>
  <c r="J374" i="1"/>
  <c r="J375" i="1" s="1"/>
  <c r="K375" i="1" s="1"/>
  <c r="K374" i="1"/>
  <c r="J376" i="1"/>
  <c r="J377" i="1" s="1"/>
  <c r="J378" i="1" s="1"/>
  <c r="J379" i="1" s="1"/>
  <c r="J380" i="1" s="1"/>
  <c r="J381" i="1" s="1"/>
  <c r="J382" i="1" s="1"/>
  <c r="J383" i="1" s="1"/>
  <c r="J384" i="1" s="1"/>
  <c r="J385" i="1" s="1"/>
  <c r="K377" i="1"/>
  <c r="K378" i="1"/>
  <c r="K379" i="1"/>
  <c r="K380" i="1"/>
  <c r="K381" i="1"/>
  <c r="K382" i="1"/>
  <c r="K383" i="1"/>
  <c r="K384" i="1"/>
  <c r="K385" i="1"/>
  <c r="J386" i="1"/>
  <c r="J387" i="1" s="1"/>
  <c r="K387" i="1" s="1"/>
  <c r="K391" i="1"/>
  <c r="K392" i="1"/>
  <c r="K393" i="1"/>
  <c r="K394" i="1"/>
  <c r="K395" i="1"/>
  <c r="K396" i="1"/>
  <c r="K397" i="1"/>
  <c r="J398" i="1"/>
  <c r="J399" i="1" s="1"/>
  <c r="K399" i="1" s="1"/>
  <c r="K405" i="1"/>
  <c r="K406" i="1"/>
  <c r="K407" i="1"/>
  <c r="K408" i="1"/>
  <c r="K409" i="1"/>
  <c r="J410" i="1"/>
  <c r="J411" i="1" s="1"/>
  <c r="K411" i="1" s="1"/>
  <c r="K412" i="1"/>
  <c r="K413" i="1"/>
  <c r="K414" i="1"/>
  <c r="K415" i="1"/>
  <c r="K416" i="1"/>
  <c r="K417" i="1"/>
  <c r="K418" i="1"/>
  <c r="K419" i="1"/>
  <c r="K420" i="1"/>
  <c r="K421" i="1"/>
  <c r="J422" i="1"/>
  <c r="J423" i="1" s="1"/>
  <c r="K423" i="1" s="1"/>
  <c r="K427" i="1"/>
  <c r="K428" i="1"/>
  <c r="K429" i="1"/>
  <c r="K430" i="1"/>
  <c r="K431" i="1"/>
  <c r="K432" i="1"/>
  <c r="K433" i="1"/>
  <c r="J434" i="1"/>
  <c r="J435" i="1" s="1"/>
  <c r="K435" i="1" s="1"/>
  <c r="K442" i="1"/>
  <c r="K443" i="1"/>
  <c r="K444" i="1"/>
  <c r="K445" i="1"/>
  <c r="J446" i="1"/>
  <c r="J447" i="1" s="1"/>
  <c r="K447" i="1" s="1"/>
  <c r="K450" i="1"/>
  <c r="K451" i="1"/>
  <c r="K452" i="1"/>
  <c r="K453" i="1"/>
  <c r="K454" i="1"/>
  <c r="K455" i="1"/>
  <c r="K456" i="1"/>
  <c r="K457" i="1"/>
  <c r="J458" i="1"/>
  <c r="J459" i="1" s="1"/>
  <c r="J460" i="1" s="1"/>
  <c r="K465" i="1"/>
  <c r="K466" i="1"/>
  <c r="K467" i="1"/>
  <c r="K468" i="1"/>
  <c r="K469" i="1"/>
  <c r="J470" i="1"/>
  <c r="J471" i="1" s="1"/>
  <c r="K471" i="1" s="1"/>
  <c r="K477" i="1"/>
  <c r="K478" i="1"/>
  <c r="K479" i="1"/>
  <c r="K480" i="1"/>
  <c r="K481" i="1"/>
  <c r="J482" i="1"/>
  <c r="J483" i="1" s="1"/>
  <c r="K483" i="1" s="1"/>
  <c r="K491" i="1"/>
  <c r="K492" i="1"/>
  <c r="K493" i="1"/>
  <c r="J494" i="1"/>
  <c r="J495" i="1" s="1"/>
  <c r="J496" i="1" s="1"/>
  <c r="J497" i="1" s="1"/>
  <c r="K495" i="1"/>
  <c r="K498" i="1"/>
  <c r="K499" i="1"/>
  <c r="K500" i="1"/>
  <c r="K501" i="1"/>
  <c r="K502" i="1"/>
  <c r="K503" i="1"/>
  <c r="K504" i="1"/>
  <c r="K505" i="1"/>
  <c r="J506" i="1"/>
  <c r="J507" i="1" s="1"/>
  <c r="K507" i="1" s="1"/>
  <c r="K506" i="1"/>
  <c r="K513" i="1"/>
  <c r="K514" i="1"/>
  <c r="K515" i="1"/>
  <c r="K516" i="1"/>
  <c r="K517" i="1"/>
  <c r="J518" i="1"/>
  <c r="J519" i="1" s="1"/>
  <c r="K519" i="1" s="1"/>
  <c r="K518" i="1"/>
  <c r="K527" i="1"/>
  <c r="K528" i="1"/>
  <c r="K529" i="1"/>
  <c r="J530" i="1"/>
  <c r="K530" i="1" s="1"/>
  <c r="K536" i="1"/>
  <c r="K537" i="1"/>
  <c r="K538" i="1"/>
  <c r="K539" i="1"/>
  <c r="K540" i="1"/>
  <c r="K541" i="1"/>
  <c r="J542" i="1"/>
  <c r="J543" i="1" s="1"/>
  <c r="K542" i="1"/>
  <c r="K548" i="1"/>
  <c r="K549" i="1"/>
  <c r="K550" i="1"/>
  <c r="K551" i="1"/>
  <c r="K552" i="1"/>
  <c r="K553" i="1"/>
  <c r="J554" i="1"/>
  <c r="K554" i="1" s="1"/>
  <c r="J555" i="1"/>
  <c r="K555" i="1" s="1"/>
  <c r="K556" i="1"/>
  <c r="K557" i="1"/>
  <c r="K558" i="1"/>
  <c r="K559" i="1"/>
  <c r="K560" i="1"/>
  <c r="K561" i="1"/>
  <c r="K562" i="1"/>
  <c r="K563" i="1"/>
  <c r="K564" i="1"/>
  <c r="K565" i="1"/>
  <c r="J566" i="1"/>
  <c r="K566" i="1" s="1"/>
  <c r="J567" i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K567" i="1"/>
  <c r="K568" i="1"/>
  <c r="K569" i="1"/>
  <c r="K570" i="1"/>
  <c r="K571" i="1"/>
  <c r="K572" i="1"/>
  <c r="K573" i="1"/>
  <c r="K574" i="1"/>
  <c r="K575" i="1"/>
  <c r="K576" i="1"/>
  <c r="K577" i="1"/>
  <c r="J578" i="1"/>
  <c r="K578" i="1" s="1"/>
  <c r="K582" i="1"/>
  <c r="K583" i="1"/>
  <c r="K584" i="1"/>
  <c r="K585" i="1"/>
  <c r="K586" i="1"/>
  <c r="K587" i="1"/>
  <c r="K588" i="1"/>
  <c r="K589" i="1"/>
  <c r="J590" i="1"/>
  <c r="K590" i="1" s="1"/>
  <c r="K596" i="1"/>
  <c r="K597" i="1"/>
  <c r="K598" i="1"/>
  <c r="K599" i="1"/>
  <c r="K600" i="1"/>
  <c r="K601" i="1"/>
  <c r="J602" i="1"/>
  <c r="K602" i="1" s="1"/>
  <c r="K605" i="1"/>
  <c r="K606" i="1"/>
  <c r="K607" i="1"/>
  <c r="K608" i="1"/>
  <c r="K609" i="1"/>
  <c r="K610" i="1"/>
  <c r="K611" i="1"/>
  <c r="K612" i="1"/>
  <c r="K613" i="1"/>
  <c r="J614" i="1"/>
  <c r="K614" i="1" s="1"/>
  <c r="K620" i="1"/>
  <c r="K621" i="1"/>
  <c r="K622" i="1"/>
  <c r="K623" i="1"/>
  <c r="K624" i="1"/>
  <c r="K625" i="1"/>
  <c r="J626" i="1"/>
  <c r="K626" i="1" s="1"/>
  <c r="K631" i="1"/>
  <c r="K632" i="1"/>
  <c r="K633" i="1"/>
  <c r="K634" i="1"/>
  <c r="K635" i="1"/>
  <c r="K636" i="1"/>
  <c r="K637" i="1"/>
  <c r="J3" i="1"/>
  <c r="K3" i="1" s="1"/>
  <c r="AI2" i="1"/>
  <c r="AJ2" i="1" s="1"/>
  <c r="K376" i="1" l="1"/>
  <c r="K338" i="1"/>
  <c r="K319" i="1"/>
  <c r="J171" i="1"/>
  <c r="J172" i="1" s="1"/>
  <c r="K172" i="1" s="1"/>
  <c r="J297" i="1"/>
  <c r="J187" i="1"/>
  <c r="J472" i="1"/>
  <c r="J473" i="1" s="1"/>
  <c r="K473" i="1" s="1"/>
  <c r="K185" i="1"/>
  <c r="J520" i="1"/>
  <c r="J521" i="1" s="1"/>
  <c r="K521" i="1" s="1"/>
  <c r="J627" i="1"/>
  <c r="K627" i="1" s="1"/>
  <c r="J615" i="1"/>
  <c r="K615" i="1" s="1"/>
  <c r="J508" i="1"/>
  <c r="J509" i="1" s="1"/>
  <c r="K509" i="1" s="1"/>
  <c r="K470" i="1"/>
  <c r="J321" i="1"/>
  <c r="J165" i="1"/>
  <c r="J340" i="1"/>
  <c r="K339" i="1"/>
  <c r="J544" i="1"/>
  <c r="K543" i="1"/>
  <c r="J498" i="1"/>
  <c r="J499" i="1" s="1"/>
  <c r="J500" i="1" s="1"/>
  <c r="J501" i="1" s="1"/>
  <c r="J502" i="1" s="1"/>
  <c r="J503" i="1" s="1"/>
  <c r="J504" i="1" s="1"/>
  <c r="J505" i="1" s="1"/>
  <c r="K497" i="1"/>
  <c r="J603" i="1"/>
  <c r="K603" i="1" s="1"/>
  <c r="J591" i="1"/>
  <c r="K591" i="1" s="1"/>
  <c r="K494" i="1"/>
  <c r="J448" i="1"/>
  <c r="J449" i="1" s="1"/>
  <c r="K449" i="1" s="1"/>
  <c r="J400" i="1"/>
  <c r="J401" i="1" s="1"/>
  <c r="K401" i="1" s="1"/>
  <c r="J285" i="1"/>
  <c r="J275" i="1"/>
  <c r="J173" i="1"/>
  <c r="K163" i="1"/>
  <c r="K398" i="1"/>
  <c r="K171" i="1"/>
  <c r="J53" i="1"/>
  <c r="J4" i="1"/>
  <c r="J579" i="1"/>
  <c r="K579" i="1" s="1"/>
  <c r="J111" i="1"/>
  <c r="J331" i="1"/>
  <c r="J332" i="1" s="1"/>
  <c r="K206" i="1"/>
  <c r="K130" i="1"/>
  <c r="J91" i="1"/>
  <c r="J92" i="1" s="1"/>
  <c r="K92" i="1" s="1"/>
  <c r="J73" i="1"/>
  <c r="J74" i="1" s="1"/>
  <c r="K74" i="1" s="1"/>
  <c r="J251" i="1"/>
  <c r="K205" i="1"/>
  <c r="K129" i="1"/>
  <c r="J83" i="1"/>
  <c r="J84" i="1" s="1"/>
  <c r="J85" i="1" s="1"/>
  <c r="J86" i="1" s="1"/>
  <c r="J87" i="1" s="1"/>
  <c r="J88" i="1" s="1"/>
  <c r="J89" i="1" s="1"/>
  <c r="K71" i="1"/>
  <c r="J484" i="1"/>
  <c r="J485" i="1" s="1"/>
  <c r="K485" i="1" s="1"/>
  <c r="J363" i="1"/>
  <c r="J364" i="1" s="1"/>
  <c r="J365" i="1" s="1"/>
  <c r="J351" i="1"/>
  <c r="J239" i="1"/>
  <c r="J240" i="1" s="1"/>
  <c r="K240" i="1" s="1"/>
  <c r="J225" i="1"/>
  <c r="J226" i="1" s="1"/>
  <c r="K226" i="1" s="1"/>
  <c r="K482" i="1"/>
  <c r="K459" i="1"/>
  <c r="J436" i="1"/>
  <c r="J437" i="1" s="1"/>
  <c r="K437" i="1" s="1"/>
  <c r="J265" i="1"/>
  <c r="K249" i="1"/>
  <c r="K223" i="1"/>
  <c r="J13" i="1"/>
  <c r="J545" i="1"/>
  <c r="K544" i="1"/>
  <c r="J461" i="1"/>
  <c r="K460" i="1"/>
  <c r="K496" i="1"/>
  <c r="K458" i="1"/>
  <c r="J424" i="1"/>
  <c r="J148" i="1"/>
  <c r="K147" i="1"/>
  <c r="J100" i="1"/>
  <c r="K99" i="1"/>
  <c r="J24" i="1"/>
  <c r="K23" i="1"/>
  <c r="K446" i="1"/>
  <c r="K434" i="1"/>
  <c r="J402" i="1"/>
  <c r="K363" i="1"/>
  <c r="K305" i="1"/>
  <c r="J208" i="1"/>
  <c r="K207" i="1"/>
  <c r="J522" i="1"/>
  <c r="J474" i="1"/>
  <c r="K422" i="1"/>
  <c r="J412" i="1"/>
  <c r="J413" i="1" s="1"/>
  <c r="J414" i="1" s="1"/>
  <c r="J415" i="1" s="1"/>
  <c r="J416" i="1" s="1"/>
  <c r="J417" i="1" s="1"/>
  <c r="J418" i="1" s="1"/>
  <c r="J419" i="1" s="1"/>
  <c r="J420" i="1" s="1"/>
  <c r="J421" i="1" s="1"/>
  <c r="K400" i="1"/>
  <c r="K306" i="1"/>
  <c r="J307" i="1"/>
  <c r="J298" i="1"/>
  <c r="K297" i="1"/>
  <c r="J166" i="1"/>
  <c r="K165" i="1"/>
  <c r="J112" i="1"/>
  <c r="K111" i="1"/>
  <c r="J531" i="1"/>
  <c r="J132" i="1"/>
  <c r="K131" i="1"/>
  <c r="K520" i="1"/>
  <c r="J510" i="1"/>
  <c r="K472" i="1"/>
  <c r="K410" i="1"/>
  <c r="J388" i="1"/>
  <c r="J286" i="1"/>
  <c r="K285" i="1"/>
  <c r="J628" i="1"/>
  <c r="J616" i="1"/>
  <c r="J580" i="1"/>
  <c r="J556" i="1"/>
  <c r="J557" i="1" s="1"/>
  <c r="J558" i="1" s="1"/>
  <c r="J559" i="1" s="1"/>
  <c r="J560" i="1" s="1"/>
  <c r="J561" i="1" s="1"/>
  <c r="J562" i="1" s="1"/>
  <c r="J563" i="1" s="1"/>
  <c r="J564" i="1" s="1"/>
  <c r="J565" i="1" s="1"/>
  <c r="J450" i="1"/>
  <c r="J451" i="1" s="1"/>
  <c r="J452" i="1" s="1"/>
  <c r="J453" i="1" s="1"/>
  <c r="J454" i="1" s="1"/>
  <c r="J455" i="1" s="1"/>
  <c r="J456" i="1" s="1"/>
  <c r="J457" i="1" s="1"/>
  <c r="J322" i="1"/>
  <c r="J323" i="1" s="1"/>
  <c r="J324" i="1" s="1"/>
  <c r="J325" i="1" s="1"/>
  <c r="J326" i="1" s="1"/>
  <c r="J327" i="1" s="1"/>
  <c r="J328" i="1" s="1"/>
  <c r="J329" i="1" s="1"/>
  <c r="K321" i="1"/>
  <c r="K508" i="1"/>
  <c r="K448" i="1"/>
  <c r="K386" i="1"/>
  <c r="J352" i="1"/>
  <c r="K351" i="1"/>
  <c r="J44" i="1"/>
  <c r="K43" i="1"/>
  <c r="J241" i="1"/>
  <c r="K239" i="1"/>
  <c r="K109" i="1"/>
  <c r="K81" i="1"/>
  <c r="J227" i="1"/>
  <c r="J75" i="1"/>
  <c r="J63" i="1"/>
  <c r="K21" i="1"/>
  <c r="K225" i="1"/>
  <c r="K73" i="1"/>
  <c r="K61" i="1"/>
  <c r="J14" i="1"/>
  <c r="K13" i="1"/>
  <c r="J188" i="1" l="1"/>
  <c r="K187" i="1"/>
  <c r="K364" i="1"/>
  <c r="K83" i="1"/>
  <c r="K436" i="1"/>
  <c r="K331" i="1"/>
  <c r="K91" i="1"/>
  <c r="J592" i="1"/>
  <c r="K484" i="1"/>
  <c r="J276" i="1"/>
  <c r="K275" i="1"/>
  <c r="J174" i="1"/>
  <c r="K173" i="1"/>
  <c r="J604" i="1"/>
  <c r="J252" i="1"/>
  <c r="K251" i="1"/>
  <c r="J5" i="1"/>
  <c r="K4" i="1"/>
  <c r="J93" i="1"/>
  <c r="J94" i="1" s="1"/>
  <c r="J486" i="1"/>
  <c r="J487" i="1" s="1"/>
  <c r="J54" i="1"/>
  <c r="K53" i="1"/>
  <c r="J438" i="1"/>
  <c r="J439" i="1" s="1"/>
  <c r="J266" i="1"/>
  <c r="K265" i="1"/>
  <c r="K340" i="1"/>
  <c r="J341" i="1"/>
  <c r="J342" i="1" s="1"/>
  <c r="J343" i="1" s="1"/>
  <c r="J344" i="1" s="1"/>
  <c r="J345" i="1" s="1"/>
  <c r="J346" i="1" s="1"/>
  <c r="J347" i="1" s="1"/>
  <c r="J348" i="1" s="1"/>
  <c r="J349" i="1" s="1"/>
  <c r="K14" i="1"/>
  <c r="J15" i="1"/>
  <c r="K604" i="1"/>
  <c r="J605" i="1"/>
  <c r="J606" i="1" s="1"/>
  <c r="J607" i="1" s="1"/>
  <c r="J608" i="1" s="1"/>
  <c r="J609" i="1" s="1"/>
  <c r="J610" i="1" s="1"/>
  <c r="J611" i="1" s="1"/>
  <c r="J612" i="1" s="1"/>
  <c r="J613" i="1" s="1"/>
  <c r="J511" i="1"/>
  <c r="K510" i="1"/>
  <c r="J523" i="1"/>
  <c r="K522" i="1"/>
  <c r="J425" i="1"/>
  <c r="K424" i="1"/>
  <c r="J64" i="1"/>
  <c r="K63" i="1"/>
  <c r="K616" i="1"/>
  <c r="J617" i="1"/>
  <c r="K365" i="1"/>
  <c r="J366" i="1"/>
  <c r="K24" i="1"/>
  <c r="J25" i="1"/>
  <c r="J76" i="1"/>
  <c r="J77" i="1" s="1"/>
  <c r="J78" i="1" s="1"/>
  <c r="J79" i="1" s="1"/>
  <c r="J80" i="1" s="1"/>
  <c r="K75" i="1"/>
  <c r="K628" i="1"/>
  <c r="J629" i="1"/>
  <c r="K112" i="1"/>
  <c r="J113" i="1"/>
  <c r="K208" i="1"/>
  <c r="J209" i="1"/>
  <c r="J242" i="1"/>
  <c r="K241" i="1"/>
  <c r="K438" i="1"/>
  <c r="K132" i="1"/>
  <c r="J133" i="1"/>
  <c r="K100" i="1"/>
  <c r="J101" i="1"/>
  <c r="J228" i="1"/>
  <c r="K227" i="1"/>
  <c r="K352" i="1"/>
  <c r="J353" i="1"/>
  <c r="K286" i="1"/>
  <c r="J287" i="1"/>
  <c r="K166" i="1"/>
  <c r="J167" i="1"/>
  <c r="J389" i="1"/>
  <c r="K388" i="1"/>
  <c r="J403" i="1"/>
  <c r="K402" i="1"/>
  <c r="K148" i="1"/>
  <c r="J149" i="1"/>
  <c r="K461" i="1"/>
  <c r="J462" i="1"/>
  <c r="K44" i="1"/>
  <c r="J45" i="1"/>
  <c r="J46" i="1" s="1"/>
  <c r="J47" i="1" s="1"/>
  <c r="J48" i="1" s="1"/>
  <c r="J49" i="1" s="1"/>
  <c r="J50" i="1" s="1"/>
  <c r="J51" i="1" s="1"/>
  <c r="K580" i="1"/>
  <c r="J581" i="1"/>
  <c r="K531" i="1"/>
  <c r="J532" i="1"/>
  <c r="K298" i="1"/>
  <c r="J299" i="1"/>
  <c r="J475" i="1"/>
  <c r="K474" i="1"/>
  <c r="K592" i="1"/>
  <c r="J593" i="1"/>
  <c r="J308" i="1"/>
  <c r="K307" i="1"/>
  <c r="K332" i="1"/>
  <c r="J333" i="1"/>
  <c r="K545" i="1"/>
  <c r="J546" i="1"/>
  <c r="K188" i="1" l="1"/>
  <c r="J189" i="1"/>
  <c r="K486" i="1"/>
  <c r="K93" i="1"/>
  <c r="J6" i="1"/>
  <c r="J7" i="1" s="1"/>
  <c r="J8" i="1" s="1"/>
  <c r="J9" i="1" s="1"/>
  <c r="J10" i="1" s="1"/>
  <c r="J11" i="1" s="1"/>
  <c r="K5" i="1"/>
  <c r="K266" i="1"/>
  <c r="J267" i="1"/>
  <c r="K276" i="1"/>
  <c r="J277" i="1"/>
  <c r="K252" i="1"/>
  <c r="J253" i="1"/>
  <c r="J55" i="1"/>
  <c r="K54" i="1"/>
  <c r="K174" i="1"/>
  <c r="J175" i="1"/>
  <c r="J354" i="1"/>
  <c r="K353" i="1"/>
  <c r="K617" i="1"/>
  <c r="J618" i="1"/>
  <c r="J476" i="1"/>
  <c r="K475" i="1"/>
  <c r="K487" i="1"/>
  <c r="J488" i="1"/>
  <c r="K94" i="1"/>
  <c r="J95" i="1"/>
  <c r="K523" i="1"/>
  <c r="J524" i="1"/>
  <c r="J210" i="1"/>
  <c r="K209" i="1"/>
  <c r="K511" i="1"/>
  <c r="J512" i="1"/>
  <c r="J134" i="1"/>
  <c r="K133" i="1"/>
  <c r="J300" i="1"/>
  <c r="K299" i="1"/>
  <c r="J150" i="1"/>
  <c r="K149" i="1"/>
  <c r="J168" i="1"/>
  <c r="J169" i="1" s="1"/>
  <c r="K167" i="1"/>
  <c r="J114" i="1"/>
  <c r="K113" i="1"/>
  <c r="J26" i="1"/>
  <c r="K25" i="1"/>
  <c r="J334" i="1"/>
  <c r="J335" i="1" s="1"/>
  <c r="J336" i="1" s="1"/>
  <c r="J337" i="1" s="1"/>
  <c r="K333" i="1"/>
  <c r="J463" i="1"/>
  <c r="K462" i="1"/>
  <c r="K308" i="1"/>
  <c r="J309" i="1"/>
  <c r="K389" i="1"/>
  <c r="J390" i="1"/>
  <c r="K228" i="1"/>
  <c r="J229" i="1"/>
  <c r="K242" i="1"/>
  <c r="J243" i="1"/>
  <c r="K64" i="1"/>
  <c r="J65" i="1"/>
  <c r="K439" i="1"/>
  <c r="J440" i="1"/>
  <c r="J533" i="1"/>
  <c r="K532" i="1"/>
  <c r="J547" i="1"/>
  <c r="K546" i="1"/>
  <c r="K593" i="1"/>
  <c r="J594" i="1"/>
  <c r="K581" i="1"/>
  <c r="J582" i="1"/>
  <c r="J583" i="1" s="1"/>
  <c r="J584" i="1" s="1"/>
  <c r="J585" i="1" s="1"/>
  <c r="J586" i="1" s="1"/>
  <c r="J587" i="1" s="1"/>
  <c r="J588" i="1" s="1"/>
  <c r="J589" i="1" s="1"/>
  <c r="J288" i="1"/>
  <c r="K287" i="1"/>
  <c r="J102" i="1"/>
  <c r="K101" i="1"/>
  <c r="K629" i="1"/>
  <c r="J630" i="1"/>
  <c r="K366" i="1"/>
  <c r="J367" i="1"/>
  <c r="K15" i="1"/>
  <c r="J16" i="1"/>
  <c r="J17" i="1" s="1"/>
  <c r="J18" i="1" s="1"/>
  <c r="J19" i="1" s="1"/>
  <c r="J20" i="1" s="1"/>
  <c r="J404" i="1"/>
  <c r="K403" i="1"/>
  <c r="K425" i="1"/>
  <c r="J426" i="1"/>
  <c r="J190" i="1" l="1"/>
  <c r="K189" i="1"/>
  <c r="K277" i="1"/>
  <c r="J278" i="1"/>
  <c r="J176" i="1"/>
  <c r="K175" i="1"/>
  <c r="J268" i="1"/>
  <c r="K267" i="1"/>
  <c r="J254" i="1"/>
  <c r="K253" i="1"/>
  <c r="J56" i="1"/>
  <c r="K55" i="1"/>
  <c r="J631" i="1"/>
  <c r="J632" i="1" s="1"/>
  <c r="J633" i="1" s="1"/>
  <c r="J634" i="1" s="1"/>
  <c r="J635" i="1" s="1"/>
  <c r="J636" i="1" s="1"/>
  <c r="J637" i="1" s="1"/>
  <c r="K630" i="1"/>
  <c r="K594" i="1"/>
  <c r="J595" i="1"/>
  <c r="J96" i="1"/>
  <c r="J97" i="1" s="1"/>
  <c r="J98" i="1" s="1"/>
  <c r="K95" i="1"/>
  <c r="K547" i="1"/>
  <c r="J548" i="1"/>
  <c r="J549" i="1" s="1"/>
  <c r="J550" i="1" s="1"/>
  <c r="J551" i="1" s="1"/>
  <c r="J552" i="1" s="1"/>
  <c r="J553" i="1" s="1"/>
  <c r="K26" i="1"/>
  <c r="J27" i="1"/>
  <c r="K300" i="1"/>
  <c r="J301" i="1"/>
  <c r="J302" i="1" s="1"/>
  <c r="J303" i="1" s="1"/>
  <c r="J304" i="1" s="1"/>
  <c r="J489" i="1"/>
  <c r="K488" i="1"/>
  <c r="K102" i="1"/>
  <c r="J103" i="1"/>
  <c r="J244" i="1"/>
  <c r="J245" i="1" s="1"/>
  <c r="J246" i="1" s="1"/>
  <c r="J247" i="1" s="1"/>
  <c r="J248" i="1" s="1"/>
  <c r="K243" i="1"/>
  <c r="J310" i="1"/>
  <c r="K309" i="1"/>
  <c r="J66" i="1"/>
  <c r="K65" i="1"/>
  <c r="J391" i="1"/>
  <c r="J392" i="1" s="1"/>
  <c r="J393" i="1" s="1"/>
  <c r="J394" i="1" s="1"/>
  <c r="J395" i="1" s="1"/>
  <c r="J396" i="1" s="1"/>
  <c r="J397" i="1" s="1"/>
  <c r="K390" i="1"/>
  <c r="J405" i="1"/>
  <c r="J406" i="1" s="1"/>
  <c r="J407" i="1" s="1"/>
  <c r="J408" i="1" s="1"/>
  <c r="J409" i="1" s="1"/>
  <c r="K404" i="1"/>
  <c r="K288" i="1"/>
  <c r="J289" i="1"/>
  <c r="J534" i="1"/>
  <c r="K533" i="1"/>
  <c r="K114" i="1"/>
  <c r="J115" i="1"/>
  <c r="K134" i="1"/>
  <c r="J135" i="1"/>
  <c r="K210" i="1"/>
  <c r="J211" i="1"/>
  <c r="J477" i="1"/>
  <c r="J478" i="1" s="1"/>
  <c r="J479" i="1" s="1"/>
  <c r="J480" i="1" s="1"/>
  <c r="J481" i="1" s="1"/>
  <c r="K476" i="1"/>
  <c r="J427" i="1"/>
  <c r="J428" i="1" s="1"/>
  <c r="J429" i="1" s="1"/>
  <c r="J430" i="1" s="1"/>
  <c r="J431" i="1" s="1"/>
  <c r="J432" i="1" s="1"/>
  <c r="J433" i="1" s="1"/>
  <c r="K426" i="1"/>
  <c r="J368" i="1"/>
  <c r="K367" i="1"/>
  <c r="J441" i="1"/>
  <c r="K440" i="1"/>
  <c r="J230" i="1"/>
  <c r="K229" i="1"/>
  <c r="J525" i="1"/>
  <c r="K524" i="1"/>
  <c r="J619" i="1"/>
  <c r="K618" i="1"/>
  <c r="K463" i="1"/>
  <c r="J464" i="1"/>
  <c r="J513" i="1"/>
  <c r="J514" i="1" s="1"/>
  <c r="J515" i="1" s="1"/>
  <c r="J516" i="1" s="1"/>
  <c r="J517" i="1" s="1"/>
  <c r="K512" i="1"/>
  <c r="K150" i="1"/>
  <c r="J151" i="1"/>
  <c r="K354" i="1"/>
  <c r="J355" i="1"/>
  <c r="K190" i="1" l="1"/>
  <c r="J191" i="1"/>
  <c r="K254" i="1"/>
  <c r="J255" i="1"/>
  <c r="K268" i="1"/>
  <c r="J269" i="1"/>
  <c r="K176" i="1"/>
  <c r="J177" i="1"/>
  <c r="K278" i="1"/>
  <c r="J279" i="1"/>
  <c r="K56" i="1"/>
  <c r="J57" i="1"/>
  <c r="J58" i="1" s="1"/>
  <c r="J59" i="1" s="1"/>
  <c r="J60" i="1" s="1"/>
  <c r="J152" i="1"/>
  <c r="K151" i="1"/>
  <c r="K525" i="1"/>
  <c r="J526" i="1"/>
  <c r="K310" i="1"/>
  <c r="J311" i="1"/>
  <c r="J212" i="1"/>
  <c r="K211" i="1"/>
  <c r="J116" i="1"/>
  <c r="K115" i="1"/>
  <c r="J28" i="1"/>
  <c r="K27" i="1"/>
  <c r="K595" i="1"/>
  <c r="J596" i="1"/>
  <c r="J597" i="1" s="1"/>
  <c r="J598" i="1" s="1"/>
  <c r="J599" i="1" s="1"/>
  <c r="J600" i="1" s="1"/>
  <c r="J601" i="1" s="1"/>
  <c r="J465" i="1"/>
  <c r="J466" i="1" s="1"/>
  <c r="J467" i="1" s="1"/>
  <c r="J468" i="1" s="1"/>
  <c r="J469" i="1" s="1"/>
  <c r="K464" i="1"/>
  <c r="K441" i="1"/>
  <c r="J442" i="1"/>
  <c r="J443" i="1" s="1"/>
  <c r="J444" i="1" s="1"/>
  <c r="J445" i="1" s="1"/>
  <c r="J231" i="1"/>
  <c r="K230" i="1"/>
  <c r="K534" i="1"/>
  <c r="J535" i="1"/>
  <c r="J104" i="1"/>
  <c r="K103" i="1"/>
  <c r="J136" i="1"/>
  <c r="K135" i="1"/>
  <c r="J290" i="1"/>
  <c r="K289" i="1"/>
  <c r="J67" i="1"/>
  <c r="K66" i="1"/>
  <c r="J356" i="1"/>
  <c r="K355" i="1"/>
  <c r="K619" i="1"/>
  <c r="J620" i="1"/>
  <c r="J621" i="1" s="1"/>
  <c r="J622" i="1" s="1"/>
  <c r="J623" i="1" s="1"/>
  <c r="J624" i="1" s="1"/>
  <c r="J625" i="1" s="1"/>
  <c r="J369" i="1"/>
  <c r="K368" i="1"/>
  <c r="K489" i="1"/>
  <c r="J490" i="1"/>
  <c r="J192" i="1" l="1"/>
  <c r="K191" i="1"/>
  <c r="J178" i="1"/>
  <c r="K177" i="1"/>
  <c r="J270" i="1"/>
  <c r="K269" i="1"/>
  <c r="J280" i="1"/>
  <c r="J281" i="1" s="1"/>
  <c r="J282" i="1" s="1"/>
  <c r="J283" i="1" s="1"/>
  <c r="K279" i="1"/>
  <c r="K255" i="1"/>
  <c r="J256" i="1"/>
  <c r="K535" i="1"/>
  <c r="J536" i="1"/>
  <c r="J537" i="1" s="1"/>
  <c r="J538" i="1" s="1"/>
  <c r="J539" i="1" s="1"/>
  <c r="J540" i="1" s="1"/>
  <c r="J541" i="1" s="1"/>
  <c r="J68" i="1"/>
  <c r="J69" i="1" s="1"/>
  <c r="J70" i="1" s="1"/>
  <c r="K67" i="1"/>
  <c r="K152" i="1"/>
  <c r="J153" i="1"/>
  <c r="J312" i="1"/>
  <c r="K311" i="1"/>
  <c r="K369" i="1"/>
  <c r="J370" i="1"/>
  <c r="J371" i="1" s="1"/>
  <c r="J372" i="1" s="1"/>
  <c r="J373" i="1" s="1"/>
  <c r="K290" i="1"/>
  <c r="J291" i="1"/>
  <c r="J232" i="1"/>
  <c r="K231" i="1"/>
  <c r="K28" i="1"/>
  <c r="J29" i="1"/>
  <c r="K136" i="1"/>
  <c r="J137" i="1"/>
  <c r="K116" i="1"/>
  <c r="J117" i="1"/>
  <c r="K526" i="1"/>
  <c r="J527" i="1"/>
  <c r="J528" i="1" s="1"/>
  <c r="J529" i="1" s="1"/>
  <c r="J357" i="1"/>
  <c r="J358" i="1" s="1"/>
  <c r="J359" i="1" s="1"/>
  <c r="J360" i="1" s="1"/>
  <c r="J361" i="1" s="1"/>
  <c r="K356" i="1"/>
  <c r="K104" i="1"/>
  <c r="J105" i="1"/>
  <c r="K212" i="1"/>
  <c r="J213" i="1"/>
  <c r="J491" i="1"/>
  <c r="J492" i="1" s="1"/>
  <c r="J493" i="1" s="1"/>
  <c r="K490" i="1"/>
  <c r="K192" i="1" l="1"/>
  <c r="J193" i="1"/>
  <c r="J257" i="1"/>
  <c r="K256" i="1"/>
  <c r="J271" i="1"/>
  <c r="K270" i="1"/>
  <c r="K178" i="1"/>
  <c r="J179" i="1"/>
  <c r="J106" i="1"/>
  <c r="J107" i="1" s="1"/>
  <c r="J108" i="1" s="1"/>
  <c r="K105" i="1"/>
  <c r="J118" i="1"/>
  <c r="K117" i="1"/>
  <c r="J154" i="1"/>
  <c r="K153" i="1"/>
  <c r="J30" i="1"/>
  <c r="K29" i="1"/>
  <c r="K312" i="1"/>
  <c r="J313" i="1"/>
  <c r="K232" i="1"/>
  <c r="J233" i="1"/>
  <c r="J234" i="1" s="1"/>
  <c r="J235" i="1" s="1"/>
  <c r="J236" i="1" s="1"/>
  <c r="J237" i="1" s="1"/>
  <c r="J138" i="1"/>
  <c r="K137" i="1"/>
  <c r="J292" i="1"/>
  <c r="J293" i="1" s="1"/>
  <c r="J294" i="1" s="1"/>
  <c r="K291" i="1"/>
  <c r="J214" i="1"/>
  <c r="K213" i="1"/>
  <c r="J194" i="1" l="1"/>
  <c r="K193" i="1"/>
  <c r="J180" i="1"/>
  <c r="K179" i="1"/>
  <c r="J272" i="1"/>
  <c r="J273" i="1" s="1"/>
  <c r="K271" i="1"/>
  <c r="J258" i="1"/>
  <c r="K257" i="1"/>
  <c r="K30" i="1"/>
  <c r="J31" i="1"/>
  <c r="J314" i="1"/>
  <c r="K313" i="1"/>
  <c r="K214" i="1"/>
  <c r="J215" i="1"/>
  <c r="K154" i="1"/>
  <c r="J155" i="1"/>
  <c r="J156" i="1" s="1"/>
  <c r="J157" i="1" s="1"/>
  <c r="J158" i="1" s="1"/>
  <c r="J159" i="1" s="1"/>
  <c r="J160" i="1" s="1"/>
  <c r="K138" i="1"/>
  <c r="J139" i="1"/>
  <c r="K118" i="1"/>
  <c r="J119" i="1"/>
  <c r="K194" i="1" l="1"/>
  <c r="J195" i="1"/>
  <c r="J181" i="1"/>
  <c r="K180" i="1"/>
  <c r="K258" i="1"/>
  <c r="J259" i="1"/>
  <c r="J32" i="1"/>
  <c r="K31" i="1"/>
  <c r="J120" i="1"/>
  <c r="K119" i="1"/>
  <c r="J216" i="1"/>
  <c r="K215" i="1"/>
  <c r="K314" i="1"/>
  <c r="J315" i="1"/>
  <c r="J316" i="1" s="1"/>
  <c r="J317" i="1" s="1"/>
  <c r="J318" i="1" s="1"/>
  <c r="J140" i="1"/>
  <c r="J141" i="1" s="1"/>
  <c r="J142" i="1" s="1"/>
  <c r="J143" i="1" s="1"/>
  <c r="J144" i="1" s="1"/>
  <c r="J145" i="1" s="1"/>
  <c r="J146" i="1" s="1"/>
  <c r="K139" i="1"/>
  <c r="J196" i="1" l="1"/>
  <c r="K195" i="1"/>
  <c r="J260" i="1"/>
  <c r="K259" i="1"/>
  <c r="K181" i="1"/>
  <c r="J182" i="1"/>
  <c r="J183" i="1" s="1"/>
  <c r="J184" i="1" s="1"/>
  <c r="K32" i="1"/>
  <c r="J33" i="1"/>
  <c r="K216" i="1"/>
  <c r="J217" i="1"/>
  <c r="K120" i="1"/>
  <c r="J121" i="1"/>
  <c r="K196" i="1" l="1"/>
  <c r="J197" i="1"/>
  <c r="K260" i="1"/>
  <c r="J261" i="1"/>
  <c r="J34" i="1"/>
  <c r="K33" i="1"/>
  <c r="J218" i="1"/>
  <c r="K217" i="1"/>
  <c r="J122" i="1"/>
  <c r="K121" i="1"/>
  <c r="J198" i="1" l="1"/>
  <c r="K197" i="1"/>
  <c r="J262" i="1"/>
  <c r="J263" i="1" s="1"/>
  <c r="K261" i="1"/>
  <c r="K122" i="1"/>
  <c r="J123" i="1"/>
  <c r="J219" i="1"/>
  <c r="K218" i="1"/>
  <c r="K34" i="1"/>
  <c r="J35" i="1"/>
  <c r="K198" i="1" l="1"/>
  <c r="J199" i="1"/>
  <c r="J200" i="1" s="1"/>
  <c r="J201" i="1" s="1"/>
  <c r="J202" i="1" s="1"/>
  <c r="J203" i="1" s="1"/>
  <c r="J124" i="1"/>
  <c r="K123" i="1"/>
  <c r="J36" i="1"/>
  <c r="K35" i="1"/>
  <c r="J220" i="1"/>
  <c r="J221" i="1" s="1"/>
  <c r="J222" i="1" s="1"/>
  <c r="K219" i="1"/>
  <c r="K124" i="1" l="1"/>
  <c r="J125" i="1"/>
  <c r="J126" i="1" s="1"/>
  <c r="J127" i="1" s="1"/>
  <c r="K36" i="1"/>
  <c r="J37" i="1"/>
  <c r="J38" i="1" l="1"/>
  <c r="K37" i="1"/>
  <c r="K38" i="1" l="1"/>
  <c r="J39" i="1"/>
  <c r="J40" i="1" s="1"/>
  <c r="J41" i="1" s="1"/>
  <c r="J42" i="1" s="1"/>
</calcChain>
</file>

<file path=xl/sharedStrings.xml><?xml version="1.0" encoding="utf-8"?>
<sst xmlns="http://schemas.openxmlformats.org/spreadsheetml/2006/main" count="1061" uniqueCount="365">
  <si>
    <t>SUB.</t>
  </si>
  <si>
    <t>FECHA</t>
  </si>
  <si>
    <t>PROVEEDOR</t>
  </si>
  <si>
    <t>MC</t>
  </si>
  <si>
    <t>EVENTO</t>
  </si>
  <si>
    <t>MECÁNICA</t>
  </si>
  <si>
    <t>APOYOS</t>
  </si>
  <si>
    <t>EXHIBICION</t>
  </si>
  <si>
    <t>ALMACENES</t>
  </si>
  <si>
    <t>PLUS</t>
  </si>
  <si>
    <t>DESC. PLU</t>
  </si>
  <si>
    <t>PAPELES NACIONALES S.A.</t>
  </si>
  <si>
    <t>030-039-044-046-053-067-084-090-095-097-098-135-250-258-281-320-322-328-358-383-415-422-502-554-578-650</t>
  </si>
  <si>
    <t>Lavaplatos en Crema Limon</t>
  </si>
  <si>
    <t>Lavaplatos Liquido Limon</t>
  </si>
  <si>
    <t>UNA ESTIBA EN PASILLO CENTRAL (59)</t>
  </si>
  <si>
    <t>031-037-039-041-043-044-046-047-051-054-056-058-063-071-083-084-086-088-089-090-091-092-093-097-098-135-156-157-159-173-173-174-175-258-259-265-281-302-353-354-357-362-363-368-369-370-385-408-435-4025-4027-4029-4040-4044-4049-4050-4054-4056-4058</t>
  </si>
  <si>
    <t>ESPACIO EN G3      (30)</t>
  </si>
  <si>
    <t>030-039-044-051-082-084-090-093-095-096-097-098-171-180-250-283-322-325-328-330-356-384-409-415-420-444-514-580-4027-4029</t>
  </si>
  <si>
    <t>TECNOQUIMICAS</t>
  </si>
  <si>
    <t>SC JOHNSON</t>
  </si>
  <si>
    <t>Ambientador Aerosol Sandía Ref</t>
  </si>
  <si>
    <t>Ambientador Aerosol surtido x3</t>
  </si>
  <si>
    <t>Limpiador Gel Destructor Sarro</t>
  </si>
  <si>
    <t>Desengrasante Naranja Rpto</t>
  </si>
  <si>
    <t>Desengrasante Naranja 2 Rptos</t>
  </si>
  <si>
    <t>BRINSA</t>
  </si>
  <si>
    <t>Oferta Crema Lavaloza Limon Al</t>
  </si>
  <si>
    <t>LAVALOZA DOYPACK LIMON</t>
  </si>
  <si>
    <t>GRADEZCO</t>
  </si>
  <si>
    <t>AZUL K</t>
  </si>
  <si>
    <t>Detergente Polvo Ropa Floral</t>
  </si>
  <si>
    <t>Detergente Liquido Floral</t>
  </si>
  <si>
    <t>JABON DE LAVAR X 3</t>
  </si>
  <si>
    <t>ETERNA</t>
  </si>
  <si>
    <t>DETERGENTE LIQUID DP BICARBONA</t>
  </si>
  <si>
    <t>ESPACIO EN ZONA PROMOCIONAL DE SALUD Y BELLEZA              (64)</t>
  </si>
  <si>
    <t>030-031-033-043-044-047-053-054-058-067-075-082-083-084-086-088-089-090-093-095-097-098-135-157-171-173-175-250-257-258-265-266-281-283-284-302-303-328-352-355-356-358-362-364-366-368-369-370-371-376-378-383-385-408-409-422-502-512-554-578-603-628-650</t>
  </si>
  <si>
    <t>20% de descuento</t>
  </si>
  <si>
    <t>25% de descuento</t>
  </si>
  <si>
    <t>96-98-406</t>
  </si>
  <si>
    <t>Cepillos Dentales 7 Beneficios</t>
  </si>
  <si>
    <t>96-406</t>
  </si>
  <si>
    <t>Deo Pies Antibacterial x 260ml</t>
  </si>
  <si>
    <t>Deo Pies Mujeres x 260ml</t>
  </si>
  <si>
    <t>Deo Pies Clinical x 260</t>
  </si>
  <si>
    <t>Deo Pies Xtrem x 260ml</t>
  </si>
  <si>
    <t>Deo Pies PiedraLumbre x 260ml</t>
  </si>
  <si>
    <t>Bacterion Rep Jab Liq Avena x1000</t>
  </si>
  <si>
    <t>Bacterion Jab Liq Vainilla Coco x1000</t>
  </si>
  <si>
    <t>Bacterion Jabon Antibacte Doypack x1000</t>
  </si>
  <si>
    <t>KENVUE</t>
  </si>
  <si>
    <t>Enjuague Bucal Cool Mint</t>
  </si>
  <si>
    <t>Enjuague Bucal Control Cálculo</t>
  </si>
  <si>
    <t>Shampoo Baby Manzanilla</t>
  </si>
  <si>
    <t>PREBEL</t>
  </si>
  <si>
    <t>BEIERSDORF</t>
  </si>
  <si>
    <t>ESPACIO EN ZONA PROMOCIONAL DE ALIMENTOS</t>
  </si>
  <si>
    <t>NESTLE</t>
  </si>
  <si>
    <t>PROCTER</t>
  </si>
  <si>
    <t>Detergente polvo triple poder</t>
  </si>
  <si>
    <t>DETERGENTE REGULAR</t>
  </si>
  <si>
    <t>Detergente Líquido Ariel Doble</t>
  </si>
  <si>
    <t>Detergente Líquido Doble Poder</t>
  </si>
  <si>
    <t>Crema Dental Con Bicarbonato</t>
  </si>
  <si>
    <t>TRIPACK CREMA DENTAL 100</t>
  </si>
  <si>
    <t>Crema Dental Bicarbonato X3</t>
  </si>
  <si>
    <t>OF CEPILLO DENTAL X 5 P ESPECI</t>
  </si>
  <si>
    <t>Cepillos Dentales 5 Acciones c</t>
  </si>
  <si>
    <t>ESPACIO EN ZONA PROMOCIONAL DE ASEO HOGAR           (26)</t>
  </si>
  <si>
    <t>Shampoo Limpieza Renovadora Pa</t>
  </si>
  <si>
    <t>Shampoo 2 en 1 Pack</t>
  </si>
  <si>
    <t>Shampoo Control Caspa</t>
  </si>
  <si>
    <t>Shampoo Aceite de Argán</t>
  </si>
  <si>
    <t>Desodorante Clear Gel Duopack</t>
  </si>
  <si>
    <t>2Pack Desodorante Cool Wave</t>
  </si>
  <si>
    <t>Pack Antitranspirante Gel</t>
  </si>
  <si>
    <t>Shampoo + Acondicionador Pro-V</t>
  </si>
  <si>
    <t>Shampoo Pro-V Bambú Nutre &amp; Cr</t>
  </si>
  <si>
    <t>Shampoo Nutritivo Colágeno</t>
  </si>
  <si>
    <t>Spray Antitranspirante 3 Und</t>
  </si>
  <si>
    <t>DESODORANTE SPRAY 2PACK SECO</t>
  </si>
  <si>
    <t>KOPPS</t>
  </si>
  <si>
    <t>030-033-044-045-053-073-075-086-089-095-096-097-135-156-158-171-172-175-180-258-259-262-266-275-281-282-289-290-302-307-322-328-330-352-358-363-368-370-376-379-383-385-402-409-422-435-483-502-554-556-578-620-628-650-4025-4028</t>
  </si>
  <si>
    <t>Cerv x6 Aguila Light</t>
  </si>
  <si>
    <t>Cerveza X 6 LATA DORADA</t>
  </si>
  <si>
    <t>SIXPACK COLA&amp;POLA LATA</t>
  </si>
  <si>
    <t>Sixpack Cerveza Corona</t>
  </si>
  <si>
    <t>Cerveza x 6 Costeña</t>
  </si>
  <si>
    <t>Cerv x6 Pilsen Lata</t>
  </si>
  <si>
    <t>Cerv x6 Poker Lata</t>
  </si>
  <si>
    <t>Cerveza Belgica Botella X6</t>
  </si>
  <si>
    <t>Leche En Polvo Entera</t>
  </si>
  <si>
    <t>Cafe Instantaneo Tradición</t>
  </si>
  <si>
    <t>BEBIDA ACHOCOLATADA EN POLVO N</t>
  </si>
  <si>
    <t>Galletas 5 Tacos</t>
  </si>
  <si>
    <t>BEBIDA CHOCOLATADA NUTRIFIT</t>
  </si>
  <si>
    <t>Leche En Polvo Azucarada</t>
  </si>
  <si>
    <t>Leche Condensada Doy Pack</t>
  </si>
  <si>
    <t>69-92-93</t>
  </si>
  <si>
    <t>Det As Bicarb + Jab Rey 4000g Sco x5UndND</t>
  </si>
  <si>
    <t>Jabón Liquido Rey 2000ml Cj x 6Bot</t>
  </si>
  <si>
    <t>Det Lq Dersa 4000 ml Cj x 4 Garrafa</t>
  </si>
  <si>
    <t>Det As Bicarb + Jab Rey 6000g Sco x3Und ND</t>
  </si>
  <si>
    <t>Suav Dersa Eterna Primavera 4000 ml Cj x 4 Garrafa</t>
  </si>
  <si>
    <t>Det Lq Top Terra 4000 ml Cj x 4Und</t>
  </si>
  <si>
    <t>Det Lq Dersa Manzana 4000ml Cj X 4 Garrafa</t>
  </si>
  <si>
    <t>Jabón Dorado Crema 110g Cj x 16Paq x 3und</t>
  </si>
  <si>
    <t>Jab D Jard Jazm y Acei Almendras110g Cj x16Pqx3U</t>
  </si>
  <si>
    <t>Jabón Dor Uva y Colageno 110g Cj x16Paq x3Und</t>
  </si>
  <si>
    <t>Jab Dor Aceite Cannabis y Bambu110g Cj x16Pq x3U</t>
  </si>
  <si>
    <t>Jabón Dorado Fresh Natural 110g Cj x 16Paq x3Un</t>
  </si>
  <si>
    <t>NUTRESA</t>
  </si>
  <si>
    <t>Café Molido fuerte</t>
  </si>
  <si>
    <t>Galletas 8 Tacos</t>
  </si>
  <si>
    <t>Mezcla Mani Y Arandanos</t>
  </si>
  <si>
    <t>Galletas Integral x3 Tacos</t>
  </si>
  <si>
    <t>Galleta Miel x9</t>
  </si>
  <si>
    <t>GALLETAS INTEGRALES</t>
  </si>
  <si>
    <t>Pasta Corriente</t>
  </si>
  <si>
    <t>BEBIDA ACHOCOLATADA DOY PACK</t>
  </si>
  <si>
    <t>92-93</t>
  </si>
  <si>
    <t>59-92-93</t>
  </si>
  <si>
    <t>HARINERA DEL VALLE</t>
  </si>
  <si>
    <t>Aceite Comestible Girasol</t>
  </si>
  <si>
    <t>Aceite Canola</t>
  </si>
  <si>
    <t>Mezcla Aceites Vegetales</t>
  </si>
  <si>
    <t>Aceite Girasol</t>
  </si>
  <si>
    <t>Pastas CONZAZONI corta penne rigate 500 gr</t>
  </si>
  <si>
    <t>Spaguetti</t>
  </si>
  <si>
    <t>Pasta Cabello Angel</t>
  </si>
  <si>
    <t>COLGATE</t>
  </si>
  <si>
    <t>93-403</t>
  </si>
  <si>
    <t>Suavizante Fresca Primavera X2</t>
  </si>
  <si>
    <t>Limpia Pisos Antibacterial Lav</t>
  </si>
  <si>
    <t>Suavizante Cuidado Superior Fr</t>
  </si>
  <si>
    <t>Limpia Pisos Bicarbonato Naran</t>
  </si>
  <si>
    <t>Crema Dental Triple Accion</t>
  </si>
  <si>
    <t>Kit de Higiene Oral Luminous W</t>
  </si>
  <si>
    <t>Crema Dental Total 12 Original</t>
  </si>
  <si>
    <t>Crema Dental Max Fresh X2</t>
  </si>
  <si>
    <t>Cepillo de Dientes Medio 360°</t>
  </si>
  <si>
    <t>Enjuague y Crema Dental Lumino</t>
  </si>
  <si>
    <t>Enjuague Bucal Plax Soft Mint</t>
  </si>
  <si>
    <t>Jab PROTEX Herbal Antibacterial 3x110gr</t>
  </si>
  <si>
    <t>Jab PROTEX Limp Prof Antibact 3x110gr</t>
  </si>
  <si>
    <t>Jab PROTEX Avena + Prebiotico 8x110g</t>
  </si>
  <si>
    <t>Palmolive Granada 3x110g</t>
  </si>
  <si>
    <t>Palmolive Avena y Azucar Morena 6x110g</t>
  </si>
  <si>
    <t>Deo MENNEN LSS Cream Talc Jar 2x100g SP</t>
  </si>
  <si>
    <t>Deo MSS Xtreme Ultra Gel 2x85g</t>
  </si>
  <si>
    <t>Deo MENNEN LADY SS Inv Flo 45g Price Off</t>
  </si>
  <si>
    <t>Deo SS Cream Cool Night 24 x 7 Jar 2PE</t>
  </si>
  <si>
    <t>97-405</t>
  </si>
  <si>
    <t>98-406</t>
  </si>
  <si>
    <t>Crema Corporal Reparacion Int</t>
  </si>
  <si>
    <t>Jabón Baby Original Tripack</t>
  </si>
  <si>
    <t>Jabon Original Tripack</t>
  </si>
  <si>
    <t>Crema Liquida Baby Original</t>
  </si>
  <si>
    <t>Jabon Avena Tripack</t>
  </si>
  <si>
    <t>Shampoo Baby Original</t>
  </si>
  <si>
    <t>Protectores Proteccion Pack</t>
  </si>
  <si>
    <t>Protectores Largos</t>
  </si>
  <si>
    <t>63-95</t>
  </si>
  <si>
    <t>POSTOBON</t>
  </si>
  <si>
    <t>SIXPACK CERVEZA LATA</t>
  </si>
  <si>
    <t>Cerveza Lata Sixpack</t>
  </si>
  <si>
    <t>Sixpack Cerveza Artesanal Rosa</t>
  </si>
  <si>
    <t>Of Bretana PG10LL12</t>
  </si>
  <si>
    <t>Gaseosa Manzana</t>
  </si>
  <si>
    <t>Duo Colombiana+Manzana+Element</t>
  </si>
  <si>
    <t>Agua Garrafa</t>
  </si>
  <si>
    <t>TE TETRAPAK SURTIDO X 12</t>
  </si>
  <si>
    <t>Agua Pack Pet</t>
  </si>
  <si>
    <t>92-403</t>
  </si>
  <si>
    <t>CASA LUKER</t>
  </si>
  <si>
    <t>Aceites Vegetales Familia</t>
  </si>
  <si>
    <t>Aceite Vegetal Multius Familia</t>
  </si>
  <si>
    <t>Aceite Vegetal Fami Multiusos</t>
  </si>
  <si>
    <t>Aceite Canola Oliva Line Adere</t>
  </si>
  <si>
    <t>Aceite Familia Multiusos</t>
  </si>
  <si>
    <t>Aceite Con Oliva Para Freir</t>
  </si>
  <si>
    <t>ACEITE CON OLIVA PARA FREIR</t>
  </si>
  <si>
    <t>BISONTE</t>
  </si>
  <si>
    <t>Leche Corporal Reparadora</t>
  </si>
  <si>
    <t>Leche Reparadora</t>
  </si>
  <si>
    <t>GEL DE BANO LACTOUREA</t>
  </si>
  <si>
    <t>Shampoo Para Cabellos Blancos</t>
  </si>
  <si>
    <t>Shampoo Para Cabellos Negros</t>
  </si>
  <si>
    <t>DETERGENTE REGULAR 3.8L</t>
  </si>
  <si>
    <t>Detergente Liquido Ropa Delica</t>
  </si>
  <si>
    <t>DETERGENTE LIQUIDO ROPA OSCURA</t>
  </si>
  <si>
    <t>Limpiapisos Citrus</t>
  </si>
  <si>
    <t>Of Blanq Natural Pe</t>
  </si>
  <si>
    <t>BLANQ ROPA COLOR+DESMANCH BLAN</t>
  </si>
  <si>
    <t>DETERGENTE BLANCO</t>
  </si>
  <si>
    <t>Desmanchador Ropa Color</t>
  </si>
  <si>
    <t>LAVALOZA LIQUIDO BOTANICAL</t>
  </si>
  <si>
    <t>Lavaloza Crema duo pack</t>
  </si>
  <si>
    <t>RECAMIER</t>
  </si>
  <si>
    <t>Deo Pies Antibacterial x 180ml</t>
  </si>
  <si>
    <t>Deo Pies Mujeres x 180ml</t>
  </si>
  <si>
    <t>Green Code Kit 7.0 x50g</t>
  </si>
  <si>
    <t>Green Code Kit 1.0 x50g</t>
  </si>
  <si>
    <t>Luminance Kit DobleT 1.0 Negro Luminoso</t>
  </si>
  <si>
    <t>Luminance Kit DobleT 7.1 Rubio Med Cen</t>
  </si>
  <si>
    <t>Of Duo Desodorante Crema</t>
  </si>
  <si>
    <t>Protector Solar Spf 60</t>
  </si>
  <si>
    <t>DESODORANTE 2UND CLASSIC CREMA</t>
  </si>
  <si>
    <t>OF DESODORANTE AFM ORIGINAL AE</t>
  </si>
  <si>
    <t>Bloq Spf 50 Facial Color Biopr</t>
  </si>
  <si>
    <t>Of Desodorante Origina X 2 Und</t>
  </si>
  <si>
    <t>OF DEO CREMA MEN X 2 P ESPECIA</t>
  </si>
  <si>
    <t>Desodorante Platino Duopack</t>
  </si>
  <si>
    <t>Of Desodorante Classic X 2 Und</t>
  </si>
  <si>
    <t>Of Protec Facial SPS 50+Protec</t>
  </si>
  <si>
    <t>Protector Solar Sport SPF 80</t>
  </si>
  <si>
    <t>Of Desodorante Classic X 3 Und</t>
  </si>
  <si>
    <t>Tinte Kit 50 Castaño Claro</t>
  </si>
  <si>
    <t>Tinte Kit 67 Chocolate</t>
  </si>
  <si>
    <t>Tinte kit 60 Rubio Oscuro</t>
  </si>
  <si>
    <t>Tinte Kit 5546 Rojo Exotico Me</t>
  </si>
  <si>
    <t>LEVAPAN</t>
  </si>
  <si>
    <t>Salsa De Tomate Doy Pack</t>
  </si>
  <si>
    <t>Salsa Con Mostaza Y Miel</t>
  </si>
  <si>
    <t>Bbq Doy Pack</t>
  </si>
  <si>
    <t>Salsa de Tomate</t>
  </si>
  <si>
    <t>Salsa Rosada Doy Pack</t>
  </si>
  <si>
    <t>Salsa Mayonesa</t>
  </si>
  <si>
    <t>Salsa.Bar.B.Q  Doy.P</t>
  </si>
  <si>
    <t>Of Gela Fru Roj Mor x 4</t>
  </si>
  <si>
    <t>Mezcla Polvo Gelatina Surtido</t>
  </si>
  <si>
    <t>Detergente Liquido Manzana</t>
  </si>
  <si>
    <t>Barra Liquido</t>
  </si>
  <si>
    <t>Detergente Polvo 360 Oxígeno A</t>
  </si>
  <si>
    <t>Detergente Líquido 5 Beneficio</t>
  </si>
  <si>
    <t>Ecoazul Detergente Liquido Doy</t>
  </si>
  <si>
    <t>Jabon De Barra Liquido</t>
  </si>
  <si>
    <t>Jabon De Lavar Barra</t>
  </si>
  <si>
    <t>Jabón Prot Nat Antibact X3 Un</t>
  </si>
  <si>
    <t>Jabon Crema Y Extracto De Coco</t>
  </si>
  <si>
    <t>Jabón Exfol Fresa/Miel X3 Un</t>
  </si>
  <si>
    <t>Jabón Nutric Natural Yog X3 Un</t>
  </si>
  <si>
    <t>JABON TOCADOR PERFUMADO</t>
  </si>
  <si>
    <t>Jabon Humect Natural X3 Unds</t>
  </si>
  <si>
    <t>Desengrasante Naranja Gatillo</t>
  </si>
  <si>
    <t>Desengrasante Limón Rpto</t>
  </si>
  <si>
    <t>Desengrasante Platinum Gatillo</t>
  </si>
  <si>
    <t>Limpiador Líquido Baño Rpto</t>
  </si>
  <si>
    <t>Limpiador Inodoro Gel Marina</t>
  </si>
  <si>
    <t>Limpiador Inodoro Gel Pino</t>
  </si>
  <si>
    <t>Ambientador Aerosol Paraíso Az</t>
  </si>
  <si>
    <t>Ambientador Aerosol elixir floral</t>
  </si>
  <si>
    <t>404-405</t>
  </si>
  <si>
    <t>69-402</t>
  </si>
  <si>
    <t>PROMOTORA DE CAFÉ COLOMBIA</t>
  </si>
  <si>
    <t>Café Tostado Molido</t>
  </si>
  <si>
    <t>Cafe Organico Grano</t>
  </si>
  <si>
    <t>Cafe Huila Grano</t>
  </si>
  <si>
    <t>Café Antioquia Grano</t>
  </si>
  <si>
    <t>Cafe Finca Grano</t>
  </si>
  <si>
    <t>Café Tostado Grano Limonaria K</t>
  </si>
  <si>
    <t>Papel Higienico black 3H 12 R</t>
  </si>
  <si>
    <t>Papel higienico Tulipan 3H 12R</t>
  </si>
  <si>
    <t>Papel Higienico Tripe Hoja</t>
  </si>
  <si>
    <t>Toalla cocina multiusos</t>
  </si>
  <si>
    <t>Papel Higienico Triple Hoja XX</t>
  </si>
  <si>
    <t>Servilletas Doble Hoja</t>
  </si>
  <si>
    <t>Toalla Multiusos Rollo 20Cm 21</t>
  </si>
  <si>
    <t>Toalla Multiusos 20cm X 21.8cm</t>
  </si>
  <si>
    <t>VIRUTEX ILKO</t>
  </si>
  <si>
    <t>Jabol Liquido Coco</t>
  </si>
  <si>
    <t>Jabon Liquido Multiusos</t>
  </si>
  <si>
    <t>Limpiador Multiusos Citric</t>
  </si>
  <si>
    <t>Limpiador Multiusos</t>
  </si>
  <si>
    <t>Limpiapisos Lavanda</t>
  </si>
  <si>
    <t>OF DEO SPRAY X 2 P ESPECIAL</t>
  </si>
  <si>
    <t>OF DEO ACLARADO SPRAY FEM P ES</t>
  </si>
  <si>
    <t>OF DEO ACLARADO ROLLON X 2 P E</t>
  </si>
  <si>
    <t>Of Ndeo B&amp;W Spray Fem X2</t>
  </si>
  <si>
    <t>OF Deos Tono Natural Roll on X</t>
  </si>
  <si>
    <t>OF DEO SILVER PROTECT X2 P ESP</t>
  </si>
  <si>
    <t>Desodorante Antimanchas Men B&amp;</t>
  </si>
  <si>
    <t>Deo Rollon Silver X2U</t>
  </si>
  <si>
    <t>Bocados De Atun En Agua</t>
  </si>
  <si>
    <t>Bocados De Atun En Aceite</t>
  </si>
  <si>
    <t>ATUN CON ENSALADA PRIMAVERA</t>
  </si>
  <si>
    <t>Lomitos Atun Aceite Girasol</t>
  </si>
  <si>
    <t>Lomitos Atun Agua</t>
  </si>
  <si>
    <t>ENSALADA CON ATUN</t>
  </si>
  <si>
    <t>COLOMBO ESPAÑOLA DE CONSERVAS</t>
  </si>
  <si>
    <t>INDUSTRIA NACIONAL DE GASEOSAS</t>
  </si>
  <si>
    <t>Agua Saborizada con Gas Manzan</t>
  </si>
  <si>
    <t>Gaseosa Ginger Ale</t>
  </si>
  <si>
    <t>67-405</t>
  </si>
  <si>
    <t xml:space="preserve">WINNY SEC ETAPA 3  BOLSAX50 +PAQUETE TOALITAS X10 ALOE   </t>
  </si>
  <si>
    <t xml:space="preserve">WINNY SENSITIVE GOLD ETAPA 1 BOLSA X50 + TOALLITAS X20 RECIEN NACIDO </t>
  </si>
  <si>
    <t>WINNY GOLD  ET4 BOL X50 NP</t>
  </si>
  <si>
    <t>LIMPIDO REGULAR x3800ML</t>
  </si>
  <si>
    <t xml:space="preserve">CLOROX LIMON x3800ML   </t>
  </si>
  <si>
    <t xml:space="preserve">CLOROX ROPA COLOR ORIGINAL 1800ML  </t>
  </si>
  <si>
    <t>PRODUCTOS NATURALES DE LA SABANA</t>
  </si>
  <si>
    <t>Leche Entera SD Orig Tetra Fou</t>
  </si>
  <si>
    <t>Desmanchador Polvo Blanco</t>
  </si>
  <si>
    <t>DESMANCHADOR POLVO BLANCO GOLD</t>
  </si>
  <si>
    <t>Desmanchador Polvo Rosa</t>
  </si>
  <si>
    <t>Pe Quitamanchas Colores</t>
  </si>
  <si>
    <t>Detergente Líquido Ropa Osc</t>
  </si>
  <si>
    <t>Detergente Líquido TDL</t>
  </si>
  <si>
    <t>Limpia Pisos Vainilla</t>
  </si>
  <si>
    <t>Limpiador Pisos Lavanda</t>
  </si>
  <si>
    <t>Removedor Power Ultra Todo En</t>
  </si>
  <si>
    <t>Removedor Pow Todo En 1 Citrus</t>
  </si>
  <si>
    <t>RECKITT</t>
  </si>
  <si>
    <t>PRODUCTOS RAMO</t>
  </si>
  <si>
    <t>PONQUE CUBIERT DE CHOCO X5 UND</t>
  </si>
  <si>
    <t>Ponque Tajado Chocolate</t>
  </si>
  <si>
    <t>CHOCOBARRA 5 UND</t>
  </si>
  <si>
    <t>Ponque Horneado 8 Unidades</t>
  </si>
  <si>
    <t>GRIFFITH FOODS</t>
  </si>
  <si>
    <t>SALSA DULCEMAIZ</t>
  </si>
  <si>
    <t>SALSA SHOWY</t>
  </si>
  <si>
    <t>SALSA SHOWY AJO</t>
  </si>
  <si>
    <t>Salsa Mayo Mostaza Original</t>
  </si>
  <si>
    <t>SALSA CHIPOTLE</t>
  </si>
  <si>
    <t>Salsa Crema Lena Mayo Ahum</t>
  </si>
  <si>
    <t>MANUELITA</t>
  </si>
  <si>
    <t>Azucar Organica</t>
  </si>
  <si>
    <t>Azucar Dorada</t>
  </si>
  <si>
    <t>DIANA CORPORACION</t>
  </si>
  <si>
    <t>93-402</t>
  </si>
  <si>
    <t>Harina Maiz Amarillo</t>
  </si>
  <si>
    <t>Harina Maiz Blanco</t>
  </si>
  <si>
    <t>SALSA TOMATE 400g</t>
  </si>
  <si>
    <t>Mayonesa 400gr</t>
  </si>
  <si>
    <t>Salsa de tomate Doy Pack 1000g</t>
  </si>
  <si>
    <t>Salsa Mayo Doy Pack</t>
  </si>
  <si>
    <t>BAYER</t>
  </si>
  <si>
    <t>Of Especial Talco Antibacteria</t>
  </si>
  <si>
    <t>Of Desodorante Para Pies Spray</t>
  </si>
  <si>
    <t>OF.3 JABON ACID MANTLE $ ESPEC</t>
  </si>
  <si>
    <t>Lavaloza Ecologico</t>
  </si>
  <si>
    <t>Suavizante Aroma Floral</t>
  </si>
  <si>
    <t>CREMA LAVALOZA LIM?N</t>
  </si>
  <si>
    <t>29/07/2026-17/08/2026</t>
  </si>
  <si>
    <t>LISTA COMPLEMENTARIA PUNTOMANIA</t>
  </si>
  <si>
    <t>PUNTOS</t>
  </si>
  <si>
    <t>40% de descuento</t>
  </si>
  <si>
    <t>LISTA COMPLEMENTARIA PUNTOMANIA - 29 JULIO AL 17 DE AGOSTO 2026</t>
  </si>
  <si>
    <t>Whisky</t>
  </si>
  <si>
    <t>CREMA DE WHISKY</t>
  </si>
  <si>
    <t>Whisky black label 12 años</t>
  </si>
  <si>
    <t>Tequila DON JULIO reposado 700 ml</t>
  </si>
  <si>
    <t>Whisky Black White</t>
  </si>
  <si>
    <t>18% de descuento</t>
  </si>
  <si>
    <t>15% de descuento</t>
  </si>
  <si>
    <t>30% de descuento</t>
  </si>
  <si>
    <t>DIAGEO</t>
  </si>
  <si>
    <t>35% de descuento</t>
  </si>
  <si>
    <t>Solo Puntos</t>
  </si>
  <si>
    <t>10% de descuento</t>
  </si>
  <si>
    <t>Llévalo por solo</t>
  </si>
  <si>
    <t>Redimiendo Puntos</t>
  </si>
  <si>
    <t>Buscador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</si>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</sst>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1"/>
      <color theme="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3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3" fontId="4" fillId="3" borderId="3" xfId="2" applyNumberFormat="1" applyFont="1" applyFill="1" applyBorder="1" applyAlignment="1">
      <alignment horizontal="center" vertical="center"/>
    </xf>
    <xf numFmtId="164" fontId="4" fillId="3" borderId="3" xfId="2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6" fillId="4" borderId="3" xfId="4" applyNumberFormat="1" applyFont="1" applyFill="1" applyBorder="1" applyAlignment="1">
      <alignment horizontal="center" vertical="center" wrapText="1"/>
    </xf>
    <xf numFmtId="0" fontId="8" fillId="4" borderId="3" xfId="4" applyNumberFormat="1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6" fillId="4" borderId="3" xfId="3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6" fillId="0" borderId="3" xfId="3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17" fontId="6" fillId="0" borderId="3" xfId="3" applyNumberFormat="1" applyFont="1" applyFill="1" applyBorder="1" applyAlignment="1">
      <alignment horizontal="center" vertical="center" wrapText="1"/>
    </xf>
    <xf numFmtId="0" fontId="7" fillId="0" borderId="3" xfId="3" quotePrefix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3" xfId="3" quotePrefix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 wrapText="1"/>
    </xf>
    <xf numFmtId="0" fontId="11" fillId="5" borderId="3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 wrapText="1"/>
    </xf>
    <xf numFmtId="165" fontId="7" fillId="0" borderId="4" xfId="2" applyNumberFormat="1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" fillId="0" borderId="3" xfId="3" applyFill="1" applyBorder="1" applyAlignment="1">
      <alignment horizontal="center" vertical="center" wrapText="1"/>
    </xf>
  </cellXfs>
  <cellStyles count="5">
    <cellStyle name="          _x000d__x000a_386grabber=VGA.3GR_x000d__x000a_" xfId="1" xr:uid="{30E2C2F6-4241-4C49-8177-56423CA8E71E}"/>
    <cellStyle name="          _x000d__x000a_386grabber=VGA.3GR_x000d__x000a_ 2 2" xfId="2" xr:uid="{7D7948FB-8A15-495B-B0CB-E7E9304882D1}"/>
    <cellStyle name="          _x000d__x000a_386grabber=VGA.3GR_x000d__x000a_ 3" xfId="3" xr:uid="{D73F427F-3FCD-49FD-80BD-D8D52E60316F}"/>
    <cellStyle name="Normal" xfId="0" builtinId="0"/>
    <cellStyle name="Normal_Formatos Listas complementarias" xfId="4" xr:uid="{89D9EED5-2A12-4B70-B9C7-269739F03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B1C3-EA27-4914-ABF3-0B3B905A9949}">
  <dimension ref="A1:AJ637"/>
  <sheetViews>
    <sheetView tabSelected="1" zoomScale="60" zoomScaleNormal="60" workbookViewId="0">
      <pane ySplit="2" topLeftCell="A3" activePane="bottomLeft" state="frozen"/>
      <selection pane="bottomLeft" activeCell="J2" sqref="J2"/>
    </sheetView>
  </sheetViews>
  <sheetFormatPr baseColWidth="10" defaultColWidth="11.453125" defaultRowHeight="14.5" x14ac:dyDescent="0.35"/>
  <cols>
    <col min="1" max="1" width="7.1796875" style="10" customWidth="1"/>
    <col min="2" max="2" width="14.453125" style="11" customWidth="1"/>
    <col min="3" max="3" width="20.08984375" style="10" customWidth="1"/>
    <col min="4" max="4" width="4.36328125" style="11" customWidth="1"/>
    <col min="5" max="5" width="20.7265625" style="10" customWidth="1"/>
    <col min="6" max="6" width="16.6328125" style="12" customWidth="1"/>
    <col min="7" max="7" width="15.36328125" style="12" customWidth="1"/>
    <col min="8" max="8" width="21.08984375" style="11" customWidth="1"/>
    <col min="9" max="9" width="21.6328125" style="12" customWidth="1"/>
    <col min="10" max="11" width="13.26953125" style="12" customWidth="1"/>
    <col min="12" max="12" width="11.1796875" style="13" customWidth="1"/>
    <col min="13" max="13" width="36.81640625" style="14" customWidth="1"/>
    <col min="14" max="14" width="19.1796875" style="15" customWidth="1"/>
    <col min="15" max="18" width="0" style="1" hidden="1" customWidth="1"/>
    <col min="19" max="16384" width="11.453125" style="1"/>
  </cols>
  <sheetData>
    <row r="1" spans="1:36" ht="38.25" customHeight="1" thickBot="1" x14ac:dyDescent="0.4">
      <c r="A1" s="17" t="s">
        <v>348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T1" s="30" t="s">
        <v>364</v>
      </c>
      <c r="U1" s="31">
        <v>30</v>
      </c>
    </row>
    <row r="2" spans="1:36" ht="23.5" customHeight="1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9" t="s">
        <v>363</v>
      </c>
      <c r="L2" s="4" t="s">
        <v>9</v>
      </c>
      <c r="M2" s="5" t="s">
        <v>10</v>
      </c>
      <c r="N2" s="6" t="s">
        <v>362</v>
      </c>
      <c r="AI2" s="32">
        <f>LEN(U1)</f>
        <v>2</v>
      </c>
      <c r="AJ2" s="32" t="str">
        <f>IF(AI2=2,CONCATENATE("-","0",U1,"-"),CONCATENATE("-",U1,"-"))</f>
        <v>-030-</v>
      </c>
    </row>
    <row r="3" spans="1:36" ht="262.5" x14ac:dyDescent="0.35">
      <c r="A3" s="20">
        <v>97</v>
      </c>
      <c r="B3" s="21" t="s">
        <v>344</v>
      </c>
      <c r="C3" s="22" t="s">
        <v>59</v>
      </c>
      <c r="D3" s="20"/>
      <c r="E3" s="21" t="s">
        <v>345</v>
      </c>
      <c r="F3" s="23" t="s">
        <v>346</v>
      </c>
      <c r="G3" s="23"/>
      <c r="H3" s="16" t="s">
        <v>15</v>
      </c>
      <c r="I3" s="19" t="s">
        <v>16</v>
      </c>
      <c r="J3" s="33" t="str">
        <f>"-"&amp;I3&amp;"-"</f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" s="33" t="str">
        <f t="shared" ref="K3:K5" si="0">IF(L3="","",IF(J3="TODOS ÉXITO A NIVEL NACIONAL-","x",IFERROR(IF(VALUE(IF(L3="","",FIND($AJ$2,J3,1)))&lt;&gt;"","x",""),"")))</f>
        <v/>
      </c>
      <c r="L3" s="7">
        <v>802468</v>
      </c>
      <c r="M3" s="8" t="s">
        <v>60</v>
      </c>
      <c r="N3" s="9" t="s">
        <v>347</v>
      </c>
    </row>
    <row r="4" spans="1:36" ht="262.5" x14ac:dyDescent="0.35">
      <c r="A4" s="20"/>
      <c r="B4" s="21"/>
      <c r="C4" s="22"/>
      <c r="D4" s="20"/>
      <c r="E4" s="21"/>
      <c r="F4" s="24"/>
      <c r="G4" s="24"/>
      <c r="H4" s="16"/>
      <c r="I4" s="19"/>
      <c r="J4" s="33" t="str">
        <f>IF(I4&lt;&gt;"","-"&amp;I4&amp;"-",J3)</f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" s="33" t="str">
        <f t="shared" si="0"/>
        <v/>
      </c>
      <c r="L4" s="7">
        <v>94836</v>
      </c>
      <c r="M4" s="8" t="s">
        <v>61</v>
      </c>
      <c r="N4" s="9" t="s">
        <v>347</v>
      </c>
    </row>
    <row r="5" spans="1:36" ht="262.5" x14ac:dyDescent="0.35">
      <c r="A5" s="20"/>
      <c r="B5" s="21"/>
      <c r="C5" s="22"/>
      <c r="D5" s="20"/>
      <c r="E5" s="21"/>
      <c r="F5" s="24"/>
      <c r="G5" s="24"/>
      <c r="H5" s="16"/>
      <c r="I5" s="19"/>
      <c r="J5" s="33" t="str">
        <f t="shared" ref="J5" si="1">IF(I5&lt;&gt;"","-"&amp;I5&amp;"-",J4)</f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5" s="33" t="str">
        <f t="shared" si="0"/>
        <v/>
      </c>
      <c r="L5" s="7">
        <v>1446696</v>
      </c>
      <c r="M5" s="8" t="s">
        <v>62</v>
      </c>
      <c r="N5" s="9" t="s">
        <v>347</v>
      </c>
    </row>
    <row r="6" spans="1:36" ht="262.5" x14ac:dyDescent="0.35">
      <c r="A6" s="20"/>
      <c r="B6" s="21"/>
      <c r="C6" s="22"/>
      <c r="D6" s="20"/>
      <c r="E6" s="21"/>
      <c r="F6" s="24"/>
      <c r="G6" s="24"/>
      <c r="H6" s="16"/>
      <c r="I6" s="19"/>
      <c r="J6" s="33" t="str">
        <f t="shared" ref="J6:J69" si="2">IF(I6&lt;&gt;"","-"&amp;I6&amp;"-",J5)</f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6" s="33" t="str">
        <f t="shared" ref="K6:K69" si="3">IF(L6="","",IF(J6="TODOS ÉXITO A NIVEL NACIONAL-","x",IFERROR(IF(VALUE(IF(L6="","",FIND($AJ$2,J6,1)))&lt;&gt;"","x",""),"")))</f>
        <v/>
      </c>
      <c r="L6" s="7"/>
      <c r="M6" s="8"/>
      <c r="N6" s="9"/>
    </row>
    <row r="7" spans="1:36" ht="262.5" x14ac:dyDescent="0.35">
      <c r="A7" s="20"/>
      <c r="B7" s="21"/>
      <c r="C7" s="22"/>
      <c r="D7" s="20"/>
      <c r="E7" s="21"/>
      <c r="F7" s="24"/>
      <c r="G7" s="24"/>
      <c r="H7" s="16"/>
      <c r="I7" s="19"/>
      <c r="J7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7" s="33" t="str">
        <f t="shared" si="3"/>
        <v/>
      </c>
      <c r="L7" s="7"/>
      <c r="M7" s="8"/>
      <c r="N7" s="9"/>
    </row>
    <row r="8" spans="1:36" ht="262.5" x14ac:dyDescent="0.35">
      <c r="A8" s="20"/>
      <c r="B8" s="21"/>
      <c r="C8" s="22"/>
      <c r="D8" s="20"/>
      <c r="E8" s="21"/>
      <c r="F8" s="24"/>
      <c r="G8" s="24"/>
      <c r="H8" s="16"/>
      <c r="I8" s="19"/>
      <c r="J8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" s="33" t="str">
        <f t="shared" si="3"/>
        <v/>
      </c>
      <c r="L8" s="7"/>
      <c r="M8" s="8"/>
      <c r="N8" s="9"/>
    </row>
    <row r="9" spans="1:36" ht="262.5" x14ac:dyDescent="0.35">
      <c r="A9" s="20"/>
      <c r="B9" s="21"/>
      <c r="C9" s="22"/>
      <c r="D9" s="20"/>
      <c r="E9" s="21"/>
      <c r="F9" s="24"/>
      <c r="G9" s="24"/>
      <c r="H9" s="16"/>
      <c r="I9" s="19"/>
      <c r="J9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9" s="33" t="str">
        <f t="shared" si="3"/>
        <v/>
      </c>
      <c r="L9" s="7"/>
      <c r="M9" s="8"/>
      <c r="N9" s="9"/>
    </row>
    <row r="10" spans="1:36" ht="262.5" x14ac:dyDescent="0.35">
      <c r="A10" s="20"/>
      <c r="B10" s="21"/>
      <c r="C10" s="22"/>
      <c r="D10" s="20"/>
      <c r="E10" s="21"/>
      <c r="F10" s="24"/>
      <c r="G10" s="24"/>
      <c r="H10" s="16"/>
      <c r="I10" s="19"/>
      <c r="J10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10" s="33" t="str">
        <f t="shared" si="3"/>
        <v/>
      </c>
      <c r="L10" s="7"/>
      <c r="M10" s="8"/>
      <c r="N10" s="9"/>
    </row>
    <row r="11" spans="1:36" ht="262.5" x14ac:dyDescent="0.35">
      <c r="A11" s="20"/>
      <c r="B11" s="21"/>
      <c r="C11" s="22"/>
      <c r="D11" s="20"/>
      <c r="E11" s="21"/>
      <c r="F11" s="24"/>
      <c r="G11" s="24"/>
      <c r="H11" s="16"/>
      <c r="I11" s="19"/>
      <c r="J11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11" s="33" t="str">
        <f t="shared" si="3"/>
        <v/>
      </c>
      <c r="L11" s="7"/>
      <c r="M11" s="8"/>
      <c r="N11" s="9"/>
    </row>
    <row r="12" spans="1:36" ht="14.5" customHeight="1" x14ac:dyDescent="0.35">
      <c r="A12" s="20">
        <v>97</v>
      </c>
      <c r="B12" s="21" t="s">
        <v>344</v>
      </c>
      <c r="C12" s="22" t="s">
        <v>59</v>
      </c>
      <c r="D12" s="20"/>
      <c r="E12" s="21" t="s">
        <v>345</v>
      </c>
      <c r="F12" s="23" t="s">
        <v>346</v>
      </c>
      <c r="G12" s="23"/>
      <c r="H12" s="16" t="s">
        <v>17</v>
      </c>
      <c r="I12" s="19" t="s">
        <v>18</v>
      </c>
      <c r="J12" s="33" t="str">
        <f t="shared" si="2"/>
        <v>-030-039-044-051-082-084-090-093-095-096-097-098-171-180-250-283-322-325-328-330-356-384-409-415-420-444-514-580-4027-4029-</v>
      </c>
      <c r="K12" s="33" t="str">
        <f t="shared" si="3"/>
        <v>x</v>
      </c>
      <c r="L12" s="7">
        <v>802468</v>
      </c>
      <c r="M12" s="8" t="s">
        <v>60</v>
      </c>
      <c r="N12" s="9" t="s">
        <v>347</v>
      </c>
    </row>
    <row r="13" spans="1:36" ht="125" x14ac:dyDescent="0.35">
      <c r="A13" s="20"/>
      <c r="B13" s="21"/>
      <c r="C13" s="22"/>
      <c r="D13" s="20"/>
      <c r="E13" s="21"/>
      <c r="F13" s="24"/>
      <c r="G13" s="24"/>
      <c r="H13" s="16"/>
      <c r="I13" s="19"/>
      <c r="J13" s="33" t="str">
        <f t="shared" si="2"/>
        <v>-030-039-044-051-082-084-090-093-095-096-097-098-171-180-250-283-322-325-328-330-356-384-409-415-420-444-514-580-4027-4029-</v>
      </c>
      <c r="K13" s="33" t="str">
        <f t="shared" si="3"/>
        <v>x</v>
      </c>
      <c r="L13" s="7">
        <v>94836</v>
      </c>
      <c r="M13" s="8" t="s">
        <v>61</v>
      </c>
      <c r="N13" s="9" t="s">
        <v>347</v>
      </c>
    </row>
    <row r="14" spans="1:36" ht="125" x14ac:dyDescent="0.35">
      <c r="A14" s="20"/>
      <c r="B14" s="21"/>
      <c r="C14" s="22"/>
      <c r="D14" s="20"/>
      <c r="E14" s="21"/>
      <c r="F14" s="24"/>
      <c r="G14" s="24"/>
      <c r="H14" s="16"/>
      <c r="I14" s="19"/>
      <c r="J14" s="33" t="str">
        <f t="shared" si="2"/>
        <v>-030-039-044-051-082-084-090-093-095-096-097-098-171-180-250-283-322-325-328-330-356-384-409-415-420-444-514-580-4027-4029-</v>
      </c>
      <c r="K14" s="33" t="str">
        <f t="shared" si="3"/>
        <v>x</v>
      </c>
      <c r="L14" s="7">
        <v>1446696</v>
      </c>
      <c r="M14" s="8" t="s">
        <v>62</v>
      </c>
      <c r="N14" s="9" t="s">
        <v>347</v>
      </c>
    </row>
    <row r="15" spans="1:36" ht="125" x14ac:dyDescent="0.35">
      <c r="A15" s="20"/>
      <c r="B15" s="21"/>
      <c r="C15" s="22"/>
      <c r="D15" s="20"/>
      <c r="E15" s="21"/>
      <c r="F15" s="24"/>
      <c r="G15" s="24"/>
      <c r="H15" s="16"/>
      <c r="I15" s="19"/>
      <c r="J15" s="33" t="str">
        <f t="shared" si="2"/>
        <v>-030-039-044-051-082-084-090-093-095-096-097-098-171-180-250-283-322-325-328-330-356-384-409-415-420-444-514-580-4027-4029-</v>
      </c>
      <c r="K15" s="33" t="str">
        <f t="shared" si="3"/>
        <v>x</v>
      </c>
      <c r="L15" s="7">
        <v>3001782</v>
      </c>
      <c r="M15" s="8" t="s">
        <v>63</v>
      </c>
      <c r="N15" s="9" t="s">
        <v>347</v>
      </c>
    </row>
    <row r="16" spans="1:36" ht="125" x14ac:dyDescent="0.35">
      <c r="A16" s="20"/>
      <c r="B16" s="21"/>
      <c r="C16" s="22"/>
      <c r="D16" s="20"/>
      <c r="E16" s="21"/>
      <c r="F16" s="24"/>
      <c r="G16" s="24"/>
      <c r="H16" s="16"/>
      <c r="I16" s="19"/>
      <c r="J16" s="33" t="str">
        <f t="shared" si="2"/>
        <v>-030-039-044-051-082-084-090-093-095-096-097-098-171-180-250-283-322-325-328-330-356-384-409-415-420-444-514-580-4027-4029-</v>
      </c>
      <c r="K16" s="33" t="str">
        <f t="shared" si="3"/>
        <v/>
      </c>
      <c r="L16" s="7"/>
      <c r="M16" s="8"/>
      <c r="N16" s="9"/>
    </row>
    <row r="17" spans="1:14" ht="125" x14ac:dyDescent="0.35">
      <c r="A17" s="20"/>
      <c r="B17" s="21"/>
      <c r="C17" s="22"/>
      <c r="D17" s="20"/>
      <c r="E17" s="21"/>
      <c r="F17" s="24"/>
      <c r="G17" s="24"/>
      <c r="H17" s="16"/>
      <c r="I17" s="19"/>
      <c r="J17" s="33" t="str">
        <f t="shared" si="2"/>
        <v>-030-039-044-051-082-084-090-093-095-096-097-098-171-180-250-283-322-325-328-330-356-384-409-415-420-444-514-580-4027-4029-</v>
      </c>
      <c r="K17" s="33" t="str">
        <f t="shared" si="3"/>
        <v/>
      </c>
      <c r="L17" s="7"/>
      <c r="M17" s="8"/>
      <c r="N17" s="9"/>
    </row>
    <row r="18" spans="1:14" ht="125" x14ac:dyDescent="0.35">
      <c r="A18" s="20"/>
      <c r="B18" s="21"/>
      <c r="C18" s="22"/>
      <c r="D18" s="20"/>
      <c r="E18" s="21"/>
      <c r="F18" s="24"/>
      <c r="G18" s="24"/>
      <c r="H18" s="16"/>
      <c r="I18" s="19"/>
      <c r="J18" s="33" t="str">
        <f t="shared" si="2"/>
        <v>-030-039-044-051-082-084-090-093-095-096-097-098-171-180-250-283-322-325-328-330-356-384-409-415-420-444-514-580-4027-4029-</v>
      </c>
      <c r="K18" s="33" t="str">
        <f t="shared" si="3"/>
        <v/>
      </c>
      <c r="L18" s="7"/>
      <c r="M18" s="8"/>
      <c r="N18" s="9"/>
    </row>
    <row r="19" spans="1:14" ht="125" x14ac:dyDescent="0.35">
      <c r="A19" s="20"/>
      <c r="B19" s="21"/>
      <c r="C19" s="22"/>
      <c r="D19" s="20"/>
      <c r="E19" s="21"/>
      <c r="F19" s="24"/>
      <c r="G19" s="24"/>
      <c r="H19" s="16"/>
      <c r="I19" s="19"/>
      <c r="J19" s="33" t="str">
        <f t="shared" si="2"/>
        <v>-030-039-044-051-082-084-090-093-095-096-097-098-171-180-250-283-322-325-328-330-356-384-409-415-420-444-514-580-4027-4029-</v>
      </c>
      <c r="K19" s="33" t="str">
        <f t="shared" si="3"/>
        <v/>
      </c>
      <c r="L19" s="7"/>
      <c r="M19" s="8"/>
      <c r="N19" s="9"/>
    </row>
    <row r="20" spans="1:14" ht="125" x14ac:dyDescent="0.35">
      <c r="A20" s="20"/>
      <c r="B20" s="21"/>
      <c r="C20" s="22"/>
      <c r="D20" s="20"/>
      <c r="E20" s="21"/>
      <c r="F20" s="24"/>
      <c r="G20" s="24"/>
      <c r="H20" s="16"/>
      <c r="I20" s="19"/>
      <c r="J20" s="33" t="str">
        <f t="shared" si="2"/>
        <v>-030-039-044-051-082-084-090-093-095-096-097-098-171-180-250-283-322-325-328-330-356-384-409-415-420-444-514-580-4027-4029-</v>
      </c>
      <c r="K20" s="33" t="str">
        <f t="shared" si="3"/>
        <v/>
      </c>
      <c r="L20" s="7"/>
      <c r="M20" s="8"/>
      <c r="N20" s="9"/>
    </row>
    <row r="21" spans="1:14" ht="262.5" x14ac:dyDescent="0.35">
      <c r="A21" s="16" t="s">
        <v>40</v>
      </c>
      <c r="B21" s="25" t="s">
        <v>344</v>
      </c>
      <c r="C21" s="26" t="s">
        <v>59</v>
      </c>
      <c r="D21" s="16"/>
      <c r="E21" s="25" t="s">
        <v>345</v>
      </c>
      <c r="F21" s="27" t="s">
        <v>346</v>
      </c>
      <c r="G21" s="27"/>
      <c r="H21" s="16" t="s">
        <v>36</v>
      </c>
      <c r="I21" s="19" t="s">
        <v>37</v>
      </c>
      <c r="J21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" s="33" t="str">
        <f t="shared" si="3"/>
        <v>x</v>
      </c>
      <c r="L21" s="7">
        <v>3161657</v>
      </c>
      <c r="M21" s="8" t="s">
        <v>64</v>
      </c>
      <c r="N21" s="9" t="s">
        <v>347</v>
      </c>
    </row>
    <row r="22" spans="1:14" ht="262.5" x14ac:dyDescent="0.35">
      <c r="A22" s="16"/>
      <c r="B22" s="25"/>
      <c r="C22" s="26"/>
      <c r="D22" s="16"/>
      <c r="E22" s="25"/>
      <c r="F22" s="19"/>
      <c r="G22" s="19"/>
      <c r="H22" s="16"/>
      <c r="I22" s="19"/>
      <c r="J22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2" s="33" t="str">
        <f t="shared" si="3"/>
        <v>x</v>
      </c>
      <c r="L22" s="7">
        <v>3003966</v>
      </c>
      <c r="M22" s="8" t="s">
        <v>65</v>
      </c>
      <c r="N22" s="9" t="s">
        <v>347</v>
      </c>
    </row>
    <row r="23" spans="1:14" ht="262.5" x14ac:dyDescent="0.35">
      <c r="A23" s="16"/>
      <c r="B23" s="25"/>
      <c r="C23" s="26"/>
      <c r="D23" s="16"/>
      <c r="E23" s="25"/>
      <c r="F23" s="19"/>
      <c r="G23" s="19"/>
      <c r="H23" s="16"/>
      <c r="I23" s="19"/>
      <c r="J23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" s="33" t="str">
        <f t="shared" si="3"/>
        <v>x</v>
      </c>
      <c r="L23" s="7">
        <v>3698419</v>
      </c>
      <c r="M23" s="8" t="s">
        <v>66</v>
      </c>
      <c r="N23" s="9" t="s">
        <v>347</v>
      </c>
    </row>
    <row r="24" spans="1:14" ht="262.5" x14ac:dyDescent="0.35">
      <c r="A24" s="16"/>
      <c r="B24" s="25"/>
      <c r="C24" s="26"/>
      <c r="D24" s="16"/>
      <c r="E24" s="25"/>
      <c r="F24" s="19"/>
      <c r="G24" s="19"/>
      <c r="H24" s="16"/>
      <c r="I24" s="19"/>
      <c r="J24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" s="33" t="str">
        <f t="shared" si="3"/>
        <v>x</v>
      </c>
      <c r="L24" s="7">
        <v>904689</v>
      </c>
      <c r="M24" s="8" t="s">
        <v>41</v>
      </c>
      <c r="N24" s="9" t="s">
        <v>347</v>
      </c>
    </row>
    <row r="25" spans="1:14" ht="262.5" x14ac:dyDescent="0.35">
      <c r="A25" s="16"/>
      <c r="B25" s="25"/>
      <c r="C25" s="26"/>
      <c r="D25" s="16"/>
      <c r="E25" s="25"/>
      <c r="F25" s="19"/>
      <c r="G25" s="19"/>
      <c r="H25" s="16"/>
      <c r="I25" s="19"/>
      <c r="J25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5" s="33" t="str">
        <f t="shared" si="3"/>
        <v>x</v>
      </c>
      <c r="L25" s="7">
        <v>31340</v>
      </c>
      <c r="M25" s="8" t="s">
        <v>67</v>
      </c>
      <c r="N25" s="9" t="s">
        <v>347</v>
      </c>
    </row>
    <row r="26" spans="1:14" ht="262.5" x14ac:dyDescent="0.35">
      <c r="A26" s="16"/>
      <c r="B26" s="25"/>
      <c r="C26" s="26"/>
      <c r="D26" s="16"/>
      <c r="E26" s="25"/>
      <c r="F26" s="19"/>
      <c r="G26" s="19"/>
      <c r="H26" s="16"/>
      <c r="I26" s="19"/>
      <c r="J26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6" s="33" t="str">
        <f t="shared" si="3"/>
        <v>x</v>
      </c>
      <c r="L26" s="7">
        <v>3059578</v>
      </c>
      <c r="M26" s="8" t="s">
        <v>68</v>
      </c>
      <c r="N26" s="9" t="s">
        <v>347</v>
      </c>
    </row>
    <row r="27" spans="1:14" ht="262.5" x14ac:dyDescent="0.35">
      <c r="A27" s="16"/>
      <c r="B27" s="25"/>
      <c r="C27" s="26"/>
      <c r="D27" s="16"/>
      <c r="E27" s="25"/>
      <c r="F27" s="19"/>
      <c r="G27" s="19"/>
      <c r="H27" s="16"/>
      <c r="I27" s="19"/>
      <c r="J27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7" s="33" t="str">
        <f t="shared" si="3"/>
        <v>x</v>
      </c>
      <c r="L27" s="7">
        <v>1420992</v>
      </c>
      <c r="M27" s="8" t="s">
        <v>70</v>
      </c>
      <c r="N27" s="9" t="s">
        <v>347</v>
      </c>
    </row>
    <row r="28" spans="1:14" ht="262.5" x14ac:dyDescent="0.35">
      <c r="A28" s="16"/>
      <c r="B28" s="25"/>
      <c r="C28" s="26"/>
      <c r="D28" s="16"/>
      <c r="E28" s="25"/>
      <c r="F28" s="19"/>
      <c r="G28" s="19"/>
      <c r="H28" s="16"/>
      <c r="I28" s="19"/>
      <c r="J28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" s="33" t="str">
        <f t="shared" si="3"/>
        <v>x</v>
      </c>
      <c r="L28" s="7">
        <v>1420993</v>
      </c>
      <c r="M28" s="8" t="s">
        <v>71</v>
      </c>
      <c r="N28" s="9" t="s">
        <v>347</v>
      </c>
    </row>
    <row r="29" spans="1:14" ht="262.5" x14ac:dyDescent="0.35">
      <c r="A29" s="16"/>
      <c r="B29" s="25"/>
      <c r="C29" s="26"/>
      <c r="D29" s="16"/>
      <c r="E29" s="25"/>
      <c r="F29" s="19"/>
      <c r="G29" s="19"/>
      <c r="H29" s="16"/>
      <c r="I29" s="19"/>
      <c r="J29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" s="33" t="str">
        <f t="shared" si="3"/>
        <v>x</v>
      </c>
      <c r="L29" s="7">
        <v>3566572</v>
      </c>
      <c r="M29" s="8" t="s">
        <v>72</v>
      </c>
      <c r="N29" s="9" t="s">
        <v>347</v>
      </c>
    </row>
    <row r="30" spans="1:14" ht="262.5" x14ac:dyDescent="0.35">
      <c r="A30" s="16"/>
      <c r="B30" s="25"/>
      <c r="C30" s="26"/>
      <c r="D30" s="16"/>
      <c r="E30" s="25"/>
      <c r="F30" s="19"/>
      <c r="G30" s="19"/>
      <c r="H30" s="16"/>
      <c r="I30" s="19"/>
      <c r="J30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0" s="33" t="str">
        <f t="shared" si="3"/>
        <v>x</v>
      </c>
      <c r="L30" s="7">
        <v>3314296</v>
      </c>
      <c r="M30" s="8" t="s">
        <v>73</v>
      </c>
      <c r="N30" s="9" t="s">
        <v>347</v>
      </c>
    </row>
    <row r="31" spans="1:14" ht="262.5" x14ac:dyDescent="0.35">
      <c r="A31" s="16"/>
      <c r="B31" s="25"/>
      <c r="C31" s="26"/>
      <c r="D31" s="16"/>
      <c r="E31" s="25"/>
      <c r="F31" s="19"/>
      <c r="G31" s="19"/>
      <c r="H31" s="16"/>
      <c r="I31" s="19"/>
      <c r="J31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" s="33" t="str">
        <f t="shared" si="3"/>
        <v>x</v>
      </c>
      <c r="L31" s="7">
        <v>1202364</v>
      </c>
      <c r="M31" s="8" t="s">
        <v>74</v>
      </c>
      <c r="N31" s="9" t="s">
        <v>347</v>
      </c>
    </row>
    <row r="32" spans="1:14" ht="262.5" x14ac:dyDescent="0.35">
      <c r="A32" s="16"/>
      <c r="B32" s="25"/>
      <c r="C32" s="26"/>
      <c r="D32" s="16"/>
      <c r="E32" s="25"/>
      <c r="F32" s="19"/>
      <c r="G32" s="19"/>
      <c r="H32" s="16"/>
      <c r="I32" s="19"/>
      <c r="J32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" s="33" t="str">
        <f t="shared" si="3"/>
        <v>x</v>
      </c>
      <c r="L32" s="7">
        <v>463224</v>
      </c>
      <c r="M32" s="8" t="s">
        <v>75</v>
      </c>
      <c r="N32" s="9" t="s">
        <v>347</v>
      </c>
    </row>
    <row r="33" spans="1:14" ht="262.5" x14ac:dyDescent="0.35">
      <c r="A33" s="16"/>
      <c r="B33" s="25"/>
      <c r="C33" s="26"/>
      <c r="D33" s="16"/>
      <c r="E33" s="25"/>
      <c r="F33" s="19"/>
      <c r="G33" s="19"/>
      <c r="H33" s="16"/>
      <c r="I33" s="19"/>
      <c r="J33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3" s="33" t="str">
        <f t="shared" si="3"/>
        <v>x</v>
      </c>
      <c r="L33" s="7">
        <v>3011836</v>
      </c>
      <c r="M33" s="8" t="s">
        <v>76</v>
      </c>
      <c r="N33" s="9" t="s">
        <v>347</v>
      </c>
    </row>
    <row r="34" spans="1:14" ht="262.5" x14ac:dyDescent="0.35">
      <c r="A34" s="16"/>
      <c r="B34" s="25"/>
      <c r="C34" s="26"/>
      <c r="D34" s="16"/>
      <c r="E34" s="25"/>
      <c r="F34" s="19"/>
      <c r="G34" s="19"/>
      <c r="H34" s="16"/>
      <c r="I34" s="19"/>
      <c r="J34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4" s="33" t="str">
        <f t="shared" si="3"/>
        <v>x</v>
      </c>
      <c r="L34" s="7">
        <v>3329187</v>
      </c>
      <c r="M34" s="8" t="s">
        <v>77</v>
      </c>
      <c r="N34" s="9" t="s">
        <v>347</v>
      </c>
    </row>
    <row r="35" spans="1:14" ht="262.5" x14ac:dyDescent="0.35">
      <c r="A35" s="16"/>
      <c r="B35" s="25"/>
      <c r="C35" s="26"/>
      <c r="D35" s="16"/>
      <c r="E35" s="25"/>
      <c r="F35" s="19"/>
      <c r="G35" s="19"/>
      <c r="H35" s="16"/>
      <c r="I35" s="19"/>
      <c r="J35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5" s="33" t="str">
        <f t="shared" si="3"/>
        <v>x</v>
      </c>
      <c r="L35" s="7">
        <v>3002849</v>
      </c>
      <c r="M35" s="8" t="s">
        <v>78</v>
      </c>
      <c r="N35" s="9" t="s">
        <v>347</v>
      </c>
    </row>
    <row r="36" spans="1:14" ht="262.5" x14ac:dyDescent="0.35">
      <c r="A36" s="16"/>
      <c r="B36" s="25"/>
      <c r="C36" s="26"/>
      <c r="D36" s="16"/>
      <c r="E36" s="25"/>
      <c r="F36" s="19"/>
      <c r="G36" s="19"/>
      <c r="H36" s="16"/>
      <c r="I36" s="19"/>
      <c r="J36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6" s="33" t="str">
        <f t="shared" si="3"/>
        <v>x</v>
      </c>
      <c r="L36" s="7">
        <v>3223849</v>
      </c>
      <c r="M36" s="8" t="s">
        <v>79</v>
      </c>
      <c r="N36" s="9" t="s">
        <v>347</v>
      </c>
    </row>
    <row r="37" spans="1:14" ht="262.5" x14ac:dyDescent="0.35">
      <c r="A37" s="16"/>
      <c r="B37" s="25"/>
      <c r="C37" s="26"/>
      <c r="D37" s="16"/>
      <c r="E37" s="25"/>
      <c r="F37" s="19"/>
      <c r="G37" s="19"/>
      <c r="H37" s="16"/>
      <c r="I37" s="19"/>
      <c r="J37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7" s="33" t="str">
        <f t="shared" si="3"/>
        <v>x</v>
      </c>
      <c r="L37" s="7">
        <v>3066739</v>
      </c>
      <c r="M37" s="8" t="s">
        <v>80</v>
      </c>
      <c r="N37" s="9" t="s">
        <v>347</v>
      </c>
    </row>
    <row r="38" spans="1:14" ht="262.5" x14ac:dyDescent="0.35">
      <c r="A38" s="16"/>
      <c r="B38" s="25"/>
      <c r="C38" s="26"/>
      <c r="D38" s="16"/>
      <c r="E38" s="25"/>
      <c r="F38" s="19"/>
      <c r="G38" s="19"/>
      <c r="H38" s="16"/>
      <c r="I38" s="19"/>
      <c r="J38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8" s="33" t="str">
        <f t="shared" si="3"/>
        <v>x</v>
      </c>
      <c r="L38" s="7">
        <v>3006091</v>
      </c>
      <c r="M38" s="8" t="s">
        <v>81</v>
      </c>
      <c r="N38" s="9" t="s">
        <v>347</v>
      </c>
    </row>
    <row r="39" spans="1:14" ht="262.5" x14ac:dyDescent="0.35">
      <c r="A39" s="16"/>
      <c r="B39" s="25"/>
      <c r="C39" s="26"/>
      <c r="D39" s="16"/>
      <c r="E39" s="25"/>
      <c r="F39" s="19"/>
      <c r="G39" s="19"/>
      <c r="H39" s="16"/>
      <c r="I39" s="19"/>
      <c r="J39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9" s="33" t="str">
        <f t="shared" si="3"/>
        <v/>
      </c>
      <c r="L39" s="7"/>
      <c r="M39" s="8"/>
      <c r="N39" s="9"/>
    </row>
    <row r="40" spans="1:14" ht="262.5" x14ac:dyDescent="0.35">
      <c r="A40" s="16"/>
      <c r="B40" s="25"/>
      <c r="C40" s="26"/>
      <c r="D40" s="16"/>
      <c r="E40" s="25"/>
      <c r="F40" s="19"/>
      <c r="G40" s="19"/>
      <c r="H40" s="16"/>
      <c r="I40" s="19"/>
      <c r="J40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0" s="33" t="str">
        <f t="shared" si="3"/>
        <v/>
      </c>
      <c r="L40" s="7"/>
      <c r="M40" s="8"/>
      <c r="N40" s="9"/>
    </row>
    <row r="41" spans="1:14" ht="262.5" x14ac:dyDescent="0.35">
      <c r="A41" s="16"/>
      <c r="B41" s="25"/>
      <c r="C41" s="26"/>
      <c r="D41" s="16"/>
      <c r="E41" s="25"/>
      <c r="F41" s="19"/>
      <c r="G41" s="19"/>
      <c r="H41" s="16"/>
      <c r="I41" s="19"/>
      <c r="J41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1" s="33" t="str">
        <f t="shared" si="3"/>
        <v/>
      </c>
      <c r="L41" s="7"/>
      <c r="M41" s="8"/>
      <c r="N41" s="9"/>
    </row>
    <row r="42" spans="1:14" ht="262.5" x14ac:dyDescent="0.35">
      <c r="A42" s="16"/>
      <c r="B42" s="25"/>
      <c r="C42" s="26"/>
      <c r="D42" s="16"/>
      <c r="E42" s="25"/>
      <c r="F42" s="19"/>
      <c r="G42" s="19"/>
      <c r="H42" s="16"/>
      <c r="I42" s="19"/>
      <c r="J42" s="33" t="str">
        <f t="shared" si="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42" s="33" t="str">
        <f t="shared" si="3"/>
        <v/>
      </c>
      <c r="L42" s="7"/>
      <c r="M42" s="8"/>
      <c r="N42" s="9"/>
    </row>
    <row r="43" spans="1:14" ht="262.5" x14ac:dyDescent="0.35">
      <c r="A43" s="20">
        <v>97</v>
      </c>
      <c r="B43" s="21" t="s">
        <v>344</v>
      </c>
      <c r="C43" s="22" t="s">
        <v>29</v>
      </c>
      <c r="D43" s="20"/>
      <c r="E43" s="21" t="s">
        <v>345</v>
      </c>
      <c r="F43" s="23" t="s">
        <v>346</v>
      </c>
      <c r="G43" s="23"/>
      <c r="H43" s="16" t="s">
        <v>15</v>
      </c>
      <c r="I43" s="19" t="s">
        <v>16</v>
      </c>
      <c r="J43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3" s="33" t="str">
        <f t="shared" si="3"/>
        <v/>
      </c>
      <c r="L43" s="7">
        <v>3580574</v>
      </c>
      <c r="M43" s="8" t="s">
        <v>100</v>
      </c>
      <c r="N43" s="9" t="s">
        <v>347</v>
      </c>
    </row>
    <row r="44" spans="1:14" ht="262.5" x14ac:dyDescent="0.35">
      <c r="A44" s="20"/>
      <c r="B44" s="21"/>
      <c r="C44" s="22"/>
      <c r="D44" s="20"/>
      <c r="E44" s="21"/>
      <c r="F44" s="24"/>
      <c r="G44" s="24"/>
      <c r="H44" s="16"/>
      <c r="I44" s="19"/>
      <c r="J44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4" s="33" t="str">
        <f t="shared" si="3"/>
        <v/>
      </c>
      <c r="L44" s="7">
        <v>618290</v>
      </c>
      <c r="M44" s="8" t="s">
        <v>102</v>
      </c>
      <c r="N44" s="9" t="s">
        <v>347</v>
      </c>
    </row>
    <row r="45" spans="1:14" ht="262.5" x14ac:dyDescent="0.35">
      <c r="A45" s="20"/>
      <c r="B45" s="21"/>
      <c r="C45" s="22"/>
      <c r="D45" s="20"/>
      <c r="E45" s="21"/>
      <c r="F45" s="24"/>
      <c r="G45" s="24"/>
      <c r="H45" s="16"/>
      <c r="I45" s="19"/>
      <c r="J45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5" s="33" t="str">
        <f t="shared" si="3"/>
        <v/>
      </c>
      <c r="L45" s="7"/>
      <c r="M45" s="8"/>
      <c r="N45" s="9"/>
    </row>
    <row r="46" spans="1:14" ht="262.5" x14ac:dyDescent="0.35">
      <c r="A46" s="20"/>
      <c r="B46" s="21"/>
      <c r="C46" s="22"/>
      <c r="D46" s="20"/>
      <c r="E46" s="21"/>
      <c r="F46" s="24"/>
      <c r="G46" s="24"/>
      <c r="H46" s="16"/>
      <c r="I46" s="19"/>
      <c r="J46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6" s="33" t="str">
        <f t="shared" si="3"/>
        <v/>
      </c>
      <c r="L46" s="7"/>
      <c r="M46" s="8"/>
      <c r="N46" s="9"/>
    </row>
    <row r="47" spans="1:14" ht="262.5" x14ac:dyDescent="0.35">
      <c r="A47" s="20"/>
      <c r="B47" s="21"/>
      <c r="C47" s="22"/>
      <c r="D47" s="20"/>
      <c r="E47" s="21"/>
      <c r="F47" s="24"/>
      <c r="G47" s="24"/>
      <c r="H47" s="16"/>
      <c r="I47" s="19"/>
      <c r="J47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7" s="33" t="str">
        <f t="shared" si="3"/>
        <v/>
      </c>
      <c r="L47" s="7"/>
      <c r="M47" s="8"/>
      <c r="N47" s="9"/>
    </row>
    <row r="48" spans="1:14" ht="262.5" x14ac:dyDescent="0.35">
      <c r="A48" s="20"/>
      <c r="B48" s="21"/>
      <c r="C48" s="22"/>
      <c r="D48" s="20"/>
      <c r="E48" s="21"/>
      <c r="F48" s="24"/>
      <c r="G48" s="24"/>
      <c r="H48" s="16"/>
      <c r="I48" s="19"/>
      <c r="J48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8" s="33" t="str">
        <f t="shared" si="3"/>
        <v/>
      </c>
      <c r="L48" s="7"/>
      <c r="M48" s="8"/>
      <c r="N48" s="9"/>
    </row>
    <row r="49" spans="1:14" ht="262.5" x14ac:dyDescent="0.35">
      <c r="A49" s="20"/>
      <c r="B49" s="21"/>
      <c r="C49" s="22"/>
      <c r="D49" s="20"/>
      <c r="E49" s="21"/>
      <c r="F49" s="24"/>
      <c r="G49" s="24"/>
      <c r="H49" s="16"/>
      <c r="I49" s="19"/>
      <c r="J49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9" s="33" t="str">
        <f t="shared" si="3"/>
        <v/>
      </c>
      <c r="L49" s="7"/>
      <c r="M49" s="8"/>
      <c r="N49" s="9"/>
    </row>
    <row r="50" spans="1:14" ht="262.5" x14ac:dyDescent="0.35">
      <c r="A50" s="20"/>
      <c r="B50" s="21"/>
      <c r="C50" s="22"/>
      <c r="D50" s="20"/>
      <c r="E50" s="21"/>
      <c r="F50" s="24"/>
      <c r="G50" s="24"/>
      <c r="H50" s="16"/>
      <c r="I50" s="19"/>
      <c r="J50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50" s="33" t="str">
        <f t="shared" si="3"/>
        <v/>
      </c>
      <c r="L50" s="7"/>
      <c r="M50" s="8"/>
      <c r="N50" s="9"/>
    </row>
    <row r="51" spans="1:14" ht="262.5" x14ac:dyDescent="0.35">
      <c r="A51" s="20"/>
      <c r="B51" s="21"/>
      <c r="C51" s="22"/>
      <c r="D51" s="20"/>
      <c r="E51" s="21"/>
      <c r="F51" s="24"/>
      <c r="G51" s="24"/>
      <c r="H51" s="16"/>
      <c r="I51" s="19"/>
      <c r="J51" s="33" t="str">
        <f t="shared" si="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51" s="33" t="str">
        <f t="shared" si="3"/>
        <v/>
      </c>
      <c r="L51" s="7"/>
      <c r="M51" s="8"/>
      <c r="N51" s="9"/>
    </row>
    <row r="52" spans="1:14" ht="14.5" customHeight="1" x14ac:dyDescent="0.35">
      <c r="A52" s="20">
        <v>97</v>
      </c>
      <c r="B52" s="21" t="s">
        <v>344</v>
      </c>
      <c r="C52" s="22" t="s">
        <v>29</v>
      </c>
      <c r="D52" s="20"/>
      <c r="E52" s="21" t="s">
        <v>345</v>
      </c>
      <c r="F52" s="23" t="s">
        <v>346</v>
      </c>
      <c r="G52" s="23"/>
      <c r="H52" s="16" t="s">
        <v>17</v>
      </c>
      <c r="I52" s="19" t="s">
        <v>18</v>
      </c>
      <c r="J52" s="33" t="str">
        <f t="shared" si="2"/>
        <v>-030-039-044-051-082-084-090-093-095-096-097-098-171-180-250-283-322-325-328-330-356-384-409-415-420-444-514-580-4027-4029-</v>
      </c>
      <c r="K52" s="33" t="str">
        <f t="shared" si="3"/>
        <v>x</v>
      </c>
      <c r="L52" s="7">
        <v>3580574</v>
      </c>
      <c r="M52" s="8" t="s">
        <v>100</v>
      </c>
      <c r="N52" s="9" t="s">
        <v>347</v>
      </c>
    </row>
    <row r="53" spans="1:14" ht="125" x14ac:dyDescent="0.35">
      <c r="A53" s="20"/>
      <c r="B53" s="21"/>
      <c r="C53" s="22"/>
      <c r="D53" s="20"/>
      <c r="E53" s="21"/>
      <c r="F53" s="24"/>
      <c r="G53" s="24"/>
      <c r="H53" s="16"/>
      <c r="I53" s="19"/>
      <c r="J53" s="33" t="str">
        <f t="shared" si="2"/>
        <v>-030-039-044-051-082-084-090-093-095-096-097-098-171-180-250-283-322-325-328-330-356-384-409-415-420-444-514-580-4027-4029-</v>
      </c>
      <c r="K53" s="33" t="str">
        <f t="shared" si="3"/>
        <v>x</v>
      </c>
      <c r="L53" s="7">
        <v>3433700</v>
      </c>
      <c r="M53" s="8" t="s">
        <v>101</v>
      </c>
      <c r="N53" s="9" t="s">
        <v>347</v>
      </c>
    </row>
    <row r="54" spans="1:14" ht="125" x14ac:dyDescent="0.35">
      <c r="A54" s="20"/>
      <c r="B54" s="21"/>
      <c r="C54" s="22"/>
      <c r="D54" s="20"/>
      <c r="E54" s="21"/>
      <c r="F54" s="24"/>
      <c r="G54" s="24"/>
      <c r="H54" s="16"/>
      <c r="I54" s="19"/>
      <c r="J54" s="33" t="str">
        <f t="shared" si="2"/>
        <v>-030-039-044-051-082-084-090-093-095-096-097-098-171-180-250-283-322-325-328-330-356-384-409-415-420-444-514-580-4027-4029-</v>
      </c>
      <c r="K54" s="33" t="str">
        <f t="shared" si="3"/>
        <v>x</v>
      </c>
      <c r="L54" s="7">
        <v>618290</v>
      </c>
      <c r="M54" s="8" t="s">
        <v>102</v>
      </c>
      <c r="N54" s="9" t="s">
        <v>347</v>
      </c>
    </row>
    <row r="55" spans="1:14" ht="125" x14ac:dyDescent="0.35">
      <c r="A55" s="20"/>
      <c r="B55" s="21"/>
      <c r="C55" s="22"/>
      <c r="D55" s="20"/>
      <c r="E55" s="21"/>
      <c r="F55" s="24"/>
      <c r="G55" s="24"/>
      <c r="H55" s="16"/>
      <c r="I55" s="19"/>
      <c r="J55" s="33" t="str">
        <f t="shared" si="2"/>
        <v>-030-039-044-051-082-084-090-093-095-096-097-098-171-180-250-283-322-325-328-330-356-384-409-415-420-444-514-580-4027-4029-</v>
      </c>
      <c r="K55" s="33" t="str">
        <f t="shared" si="3"/>
        <v>x</v>
      </c>
      <c r="L55" s="7">
        <v>3580573</v>
      </c>
      <c r="M55" s="8" t="s">
        <v>103</v>
      </c>
      <c r="N55" s="9" t="s">
        <v>347</v>
      </c>
    </row>
    <row r="56" spans="1:14" ht="125" x14ac:dyDescent="0.35">
      <c r="A56" s="20"/>
      <c r="B56" s="21"/>
      <c r="C56" s="22"/>
      <c r="D56" s="20"/>
      <c r="E56" s="21"/>
      <c r="F56" s="24"/>
      <c r="G56" s="24"/>
      <c r="H56" s="16"/>
      <c r="I56" s="19"/>
      <c r="J56" s="33" t="str">
        <f t="shared" si="2"/>
        <v>-030-039-044-051-082-084-090-093-095-096-097-098-171-180-250-283-322-325-328-330-356-384-409-415-420-444-514-580-4027-4029-</v>
      </c>
      <c r="K56" s="33" t="str">
        <f t="shared" si="3"/>
        <v>x</v>
      </c>
      <c r="L56" s="7">
        <v>833751</v>
      </c>
      <c r="M56" s="8" t="s">
        <v>104</v>
      </c>
      <c r="N56" s="9" t="s">
        <v>347</v>
      </c>
    </row>
    <row r="57" spans="1:14" ht="125" x14ac:dyDescent="0.35">
      <c r="A57" s="20"/>
      <c r="B57" s="21"/>
      <c r="C57" s="22"/>
      <c r="D57" s="20"/>
      <c r="E57" s="21"/>
      <c r="F57" s="24"/>
      <c r="G57" s="24"/>
      <c r="H57" s="16"/>
      <c r="I57" s="19"/>
      <c r="J57" s="33" t="str">
        <f t="shared" si="2"/>
        <v>-030-039-044-051-082-084-090-093-095-096-097-098-171-180-250-283-322-325-328-330-356-384-409-415-420-444-514-580-4027-4029-</v>
      </c>
      <c r="K57" s="33" t="str">
        <f t="shared" si="3"/>
        <v/>
      </c>
      <c r="L57" s="7"/>
      <c r="M57" s="8"/>
      <c r="N57" s="9"/>
    </row>
    <row r="58" spans="1:14" ht="125" x14ac:dyDescent="0.35">
      <c r="A58" s="20"/>
      <c r="B58" s="21"/>
      <c r="C58" s="22"/>
      <c r="D58" s="20"/>
      <c r="E58" s="21"/>
      <c r="F58" s="24"/>
      <c r="G58" s="24"/>
      <c r="H58" s="16"/>
      <c r="I58" s="19"/>
      <c r="J58" s="33" t="str">
        <f t="shared" si="2"/>
        <v>-030-039-044-051-082-084-090-093-095-096-097-098-171-180-250-283-322-325-328-330-356-384-409-415-420-444-514-580-4027-4029-</v>
      </c>
      <c r="K58" s="33" t="str">
        <f t="shared" si="3"/>
        <v/>
      </c>
      <c r="L58" s="7"/>
      <c r="M58" s="8"/>
      <c r="N58" s="9"/>
    </row>
    <row r="59" spans="1:14" ht="125" x14ac:dyDescent="0.35">
      <c r="A59" s="20"/>
      <c r="B59" s="21"/>
      <c r="C59" s="22"/>
      <c r="D59" s="20"/>
      <c r="E59" s="21"/>
      <c r="F59" s="24"/>
      <c r="G59" s="24"/>
      <c r="H59" s="16"/>
      <c r="I59" s="19"/>
      <c r="J59" s="33" t="str">
        <f t="shared" si="2"/>
        <v>-030-039-044-051-082-084-090-093-095-096-097-098-171-180-250-283-322-325-328-330-356-384-409-415-420-444-514-580-4027-4029-</v>
      </c>
      <c r="K59" s="33" t="str">
        <f t="shared" si="3"/>
        <v/>
      </c>
      <c r="L59" s="7"/>
      <c r="M59" s="8"/>
      <c r="N59" s="9"/>
    </row>
    <row r="60" spans="1:14" ht="125" x14ac:dyDescent="0.35">
      <c r="A60" s="20"/>
      <c r="B60" s="21"/>
      <c r="C60" s="22"/>
      <c r="D60" s="20"/>
      <c r="E60" s="21"/>
      <c r="F60" s="24"/>
      <c r="G60" s="24"/>
      <c r="H60" s="16"/>
      <c r="I60" s="19"/>
      <c r="J60" s="33" t="str">
        <f t="shared" si="2"/>
        <v>-030-039-044-051-082-084-090-093-095-096-097-098-171-180-250-283-322-325-328-330-356-384-409-415-420-444-514-580-4027-4029-</v>
      </c>
      <c r="K60" s="33" t="str">
        <f t="shared" si="3"/>
        <v/>
      </c>
      <c r="L60" s="7"/>
      <c r="M60" s="8"/>
      <c r="N60" s="9"/>
    </row>
    <row r="61" spans="1:14" ht="14.5" customHeight="1" x14ac:dyDescent="0.35">
      <c r="A61" s="20">
        <v>97</v>
      </c>
      <c r="B61" s="22" t="s">
        <v>344</v>
      </c>
      <c r="C61" s="22" t="s">
        <v>29</v>
      </c>
      <c r="D61" s="20"/>
      <c r="E61" s="20" t="s">
        <v>345</v>
      </c>
      <c r="F61" s="23" t="s">
        <v>346</v>
      </c>
      <c r="G61" s="23"/>
      <c r="H61" s="16" t="s">
        <v>69</v>
      </c>
      <c r="I61" s="28" t="s">
        <v>12</v>
      </c>
      <c r="J61" s="33" t="str">
        <f t="shared" si="2"/>
        <v>-030-039-044-046-053-067-084-090-095-097-098-135-250-258-281-320-322-328-358-383-415-422-502-554-578-650-</v>
      </c>
      <c r="K61" s="33" t="str">
        <f t="shared" si="3"/>
        <v>x</v>
      </c>
      <c r="L61" s="7">
        <v>3580574</v>
      </c>
      <c r="M61" s="8" t="s">
        <v>100</v>
      </c>
      <c r="N61" s="9" t="s">
        <v>347</v>
      </c>
    </row>
    <row r="62" spans="1:14" ht="14.5" customHeight="1" x14ac:dyDescent="0.35">
      <c r="A62" s="20"/>
      <c r="B62" s="22"/>
      <c r="C62" s="22"/>
      <c r="D62" s="20"/>
      <c r="E62" s="20"/>
      <c r="F62" s="24"/>
      <c r="G62" s="24"/>
      <c r="H62" s="16"/>
      <c r="I62" s="28"/>
      <c r="J62" s="33" t="str">
        <f t="shared" si="2"/>
        <v>-030-039-044-046-053-067-084-090-095-097-098-135-250-258-281-320-322-328-358-383-415-422-502-554-578-650-</v>
      </c>
      <c r="K62" s="33" t="str">
        <f t="shared" si="3"/>
        <v>x</v>
      </c>
      <c r="L62" s="7">
        <v>3433700</v>
      </c>
      <c r="M62" s="8" t="s">
        <v>101</v>
      </c>
      <c r="N62" s="9" t="s">
        <v>347</v>
      </c>
    </row>
    <row r="63" spans="1:14" ht="14.5" customHeight="1" x14ac:dyDescent="0.35">
      <c r="A63" s="20"/>
      <c r="B63" s="22"/>
      <c r="C63" s="22"/>
      <c r="D63" s="20"/>
      <c r="E63" s="20"/>
      <c r="F63" s="24"/>
      <c r="G63" s="24"/>
      <c r="H63" s="16"/>
      <c r="I63" s="28"/>
      <c r="J63" s="33" t="str">
        <f t="shared" si="2"/>
        <v>-030-039-044-046-053-067-084-090-095-097-098-135-250-258-281-320-322-328-358-383-415-422-502-554-578-650-</v>
      </c>
      <c r="K63" s="33" t="str">
        <f t="shared" si="3"/>
        <v>x</v>
      </c>
      <c r="L63" s="7">
        <v>618290</v>
      </c>
      <c r="M63" s="8" t="s">
        <v>102</v>
      </c>
      <c r="N63" s="9" t="s">
        <v>347</v>
      </c>
    </row>
    <row r="64" spans="1:14" ht="112.5" x14ac:dyDescent="0.35">
      <c r="A64" s="20"/>
      <c r="B64" s="22"/>
      <c r="C64" s="22"/>
      <c r="D64" s="20"/>
      <c r="E64" s="20"/>
      <c r="F64" s="24"/>
      <c r="G64" s="24"/>
      <c r="H64" s="16"/>
      <c r="I64" s="28"/>
      <c r="J64" s="33" t="str">
        <f t="shared" si="2"/>
        <v>-030-039-044-046-053-067-084-090-095-097-098-135-250-258-281-320-322-328-358-383-415-422-502-554-578-650-</v>
      </c>
      <c r="K64" s="33" t="str">
        <f t="shared" si="3"/>
        <v>x</v>
      </c>
      <c r="L64" s="7">
        <v>3580573</v>
      </c>
      <c r="M64" s="8" t="s">
        <v>103</v>
      </c>
      <c r="N64" s="9" t="s">
        <v>347</v>
      </c>
    </row>
    <row r="65" spans="1:14" ht="112.5" x14ac:dyDescent="0.35">
      <c r="A65" s="20"/>
      <c r="B65" s="22"/>
      <c r="C65" s="22"/>
      <c r="D65" s="20"/>
      <c r="E65" s="20"/>
      <c r="F65" s="24"/>
      <c r="G65" s="24"/>
      <c r="H65" s="16"/>
      <c r="I65" s="28"/>
      <c r="J65" s="33" t="str">
        <f t="shared" si="2"/>
        <v>-030-039-044-046-053-067-084-090-095-097-098-135-250-258-281-320-322-328-358-383-415-422-502-554-578-650-</v>
      </c>
      <c r="K65" s="33" t="str">
        <f t="shared" si="3"/>
        <v>x</v>
      </c>
      <c r="L65" s="7">
        <v>833751</v>
      </c>
      <c r="M65" s="8" t="s">
        <v>104</v>
      </c>
      <c r="N65" s="9" t="s">
        <v>347</v>
      </c>
    </row>
    <row r="66" spans="1:14" ht="112.5" x14ac:dyDescent="0.35">
      <c r="A66" s="20"/>
      <c r="B66" s="22"/>
      <c r="C66" s="22"/>
      <c r="D66" s="20"/>
      <c r="E66" s="20"/>
      <c r="F66" s="24"/>
      <c r="G66" s="24"/>
      <c r="H66" s="16"/>
      <c r="I66" s="28"/>
      <c r="J66" s="33" t="str">
        <f t="shared" si="2"/>
        <v>-030-039-044-046-053-067-084-090-095-097-098-135-250-258-281-320-322-328-358-383-415-422-502-554-578-650-</v>
      </c>
      <c r="K66" s="33" t="str">
        <f t="shared" si="3"/>
        <v>x</v>
      </c>
      <c r="L66" s="7">
        <v>3225739</v>
      </c>
      <c r="M66" s="8" t="s">
        <v>105</v>
      </c>
      <c r="N66" s="9" t="s">
        <v>347</v>
      </c>
    </row>
    <row r="67" spans="1:14" ht="112.5" x14ac:dyDescent="0.35">
      <c r="A67" s="20"/>
      <c r="B67" s="22"/>
      <c r="C67" s="22"/>
      <c r="D67" s="20"/>
      <c r="E67" s="20"/>
      <c r="F67" s="24"/>
      <c r="G67" s="24"/>
      <c r="H67" s="16"/>
      <c r="I67" s="28"/>
      <c r="J67" s="33" t="str">
        <f t="shared" si="2"/>
        <v>-030-039-044-046-053-067-084-090-095-097-098-135-250-258-281-320-322-328-358-383-415-422-502-554-578-650-</v>
      </c>
      <c r="K67" s="33" t="str">
        <f t="shared" si="3"/>
        <v>x</v>
      </c>
      <c r="L67" s="7">
        <v>3012138</v>
      </c>
      <c r="M67" s="8" t="s">
        <v>106</v>
      </c>
      <c r="N67" s="9" t="s">
        <v>347</v>
      </c>
    </row>
    <row r="68" spans="1:14" ht="112.5" x14ac:dyDescent="0.35">
      <c r="A68" s="20"/>
      <c r="B68" s="22"/>
      <c r="C68" s="22"/>
      <c r="D68" s="20"/>
      <c r="E68" s="20"/>
      <c r="F68" s="24"/>
      <c r="G68" s="24"/>
      <c r="H68" s="16"/>
      <c r="I68" s="28"/>
      <c r="J68" s="33" t="str">
        <f t="shared" si="2"/>
        <v>-030-039-044-046-053-067-084-090-095-097-098-135-250-258-281-320-322-328-358-383-415-422-502-554-578-650-</v>
      </c>
      <c r="K68" s="33" t="str">
        <f t="shared" si="3"/>
        <v/>
      </c>
      <c r="L68" s="7"/>
      <c r="M68" s="8"/>
      <c r="N68" s="9"/>
    </row>
    <row r="69" spans="1:14" ht="112.5" x14ac:dyDescent="0.35">
      <c r="A69" s="20"/>
      <c r="B69" s="22"/>
      <c r="C69" s="22"/>
      <c r="D69" s="20"/>
      <c r="E69" s="20"/>
      <c r="F69" s="24"/>
      <c r="G69" s="24"/>
      <c r="H69" s="16"/>
      <c r="I69" s="28"/>
      <c r="J69" s="33" t="str">
        <f t="shared" si="2"/>
        <v>-030-039-044-046-053-067-084-090-095-097-098-135-250-258-281-320-322-328-358-383-415-422-502-554-578-650-</v>
      </c>
      <c r="K69" s="33" t="str">
        <f t="shared" si="3"/>
        <v/>
      </c>
      <c r="L69" s="7"/>
      <c r="M69" s="8"/>
      <c r="N69" s="9"/>
    </row>
    <row r="70" spans="1:14" ht="112.5" x14ac:dyDescent="0.35">
      <c r="A70" s="20"/>
      <c r="B70" s="22"/>
      <c r="C70" s="22"/>
      <c r="D70" s="20"/>
      <c r="E70" s="20"/>
      <c r="F70" s="24"/>
      <c r="G70" s="24"/>
      <c r="H70" s="16"/>
      <c r="I70" s="28"/>
      <c r="J70" s="33" t="str">
        <f t="shared" ref="J70:J133" si="4">IF(I70&lt;&gt;"","-"&amp;I70&amp;"-",J69)</f>
        <v>-030-039-044-046-053-067-084-090-095-097-098-135-250-258-281-320-322-328-358-383-415-422-502-554-578-650-</v>
      </c>
      <c r="K70" s="33" t="str">
        <f t="shared" ref="K70:K133" si="5">IF(L70="","",IF(J70="TODOS ÉXITO A NIVEL NACIONAL-","x",IFERROR(IF(VALUE(IF(L70="","",FIND($AJ$2,J70,1)))&lt;&gt;"","x",""),"")))</f>
        <v/>
      </c>
      <c r="L70" s="7"/>
      <c r="M70" s="8"/>
      <c r="N70" s="9"/>
    </row>
    <row r="71" spans="1:14" ht="262.5" x14ac:dyDescent="0.35">
      <c r="A71" s="16">
        <v>406</v>
      </c>
      <c r="B71" s="25" t="s">
        <v>344</v>
      </c>
      <c r="C71" s="26" t="s">
        <v>29</v>
      </c>
      <c r="D71" s="16"/>
      <c r="E71" s="25" t="s">
        <v>345</v>
      </c>
      <c r="F71" s="27" t="s">
        <v>346</v>
      </c>
      <c r="G71" s="27"/>
      <c r="H71" s="16" t="s">
        <v>36</v>
      </c>
      <c r="I71" s="19" t="s">
        <v>37</v>
      </c>
      <c r="J71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1" s="33" t="str">
        <f t="shared" si="5"/>
        <v>x</v>
      </c>
      <c r="L71" s="7">
        <v>3414584</v>
      </c>
      <c r="M71" s="8" t="s">
        <v>107</v>
      </c>
      <c r="N71" s="9" t="s">
        <v>347</v>
      </c>
    </row>
    <row r="72" spans="1:14" ht="262.5" x14ac:dyDescent="0.35">
      <c r="A72" s="16"/>
      <c r="B72" s="25"/>
      <c r="C72" s="26"/>
      <c r="D72" s="16"/>
      <c r="E72" s="25"/>
      <c r="F72" s="19"/>
      <c r="G72" s="19"/>
      <c r="H72" s="16"/>
      <c r="I72" s="19"/>
      <c r="J72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2" s="33" t="str">
        <f t="shared" si="5"/>
        <v>x</v>
      </c>
      <c r="L72" s="7">
        <v>3406970</v>
      </c>
      <c r="M72" s="8" t="s">
        <v>108</v>
      </c>
      <c r="N72" s="9" t="s">
        <v>347</v>
      </c>
    </row>
    <row r="73" spans="1:14" ht="262.5" x14ac:dyDescent="0.35">
      <c r="A73" s="16"/>
      <c r="B73" s="25"/>
      <c r="C73" s="26"/>
      <c r="D73" s="16"/>
      <c r="E73" s="25"/>
      <c r="F73" s="19"/>
      <c r="G73" s="19"/>
      <c r="H73" s="16"/>
      <c r="I73" s="19"/>
      <c r="J73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3" s="33" t="str">
        <f t="shared" si="5"/>
        <v>x</v>
      </c>
      <c r="L73" s="7">
        <v>3414585</v>
      </c>
      <c r="M73" s="8" t="s">
        <v>109</v>
      </c>
      <c r="N73" s="9" t="s">
        <v>347</v>
      </c>
    </row>
    <row r="74" spans="1:14" ht="262.5" x14ac:dyDescent="0.35">
      <c r="A74" s="16"/>
      <c r="B74" s="25"/>
      <c r="C74" s="26"/>
      <c r="D74" s="16"/>
      <c r="E74" s="25"/>
      <c r="F74" s="19"/>
      <c r="G74" s="19"/>
      <c r="H74" s="16"/>
      <c r="I74" s="19"/>
      <c r="J74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4" s="33" t="str">
        <f t="shared" si="5"/>
        <v>x</v>
      </c>
      <c r="L74" s="7">
        <v>3406969</v>
      </c>
      <c r="M74" s="8" t="s">
        <v>110</v>
      </c>
      <c r="N74" s="9" t="s">
        <v>347</v>
      </c>
    </row>
    <row r="75" spans="1:14" ht="262.5" x14ac:dyDescent="0.35">
      <c r="A75" s="16"/>
      <c r="B75" s="25"/>
      <c r="C75" s="26"/>
      <c r="D75" s="16"/>
      <c r="E75" s="25"/>
      <c r="F75" s="19"/>
      <c r="G75" s="19"/>
      <c r="H75" s="16"/>
      <c r="I75" s="19"/>
      <c r="J75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5" s="33" t="str">
        <f t="shared" si="5"/>
        <v>x</v>
      </c>
      <c r="L75" s="7">
        <v>3532534</v>
      </c>
      <c r="M75" s="8" t="s">
        <v>111</v>
      </c>
      <c r="N75" s="9" t="s">
        <v>347</v>
      </c>
    </row>
    <row r="76" spans="1:14" ht="262.5" x14ac:dyDescent="0.35">
      <c r="A76" s="16"/>
      <c r="B76" s="25"/>
      <c r="C76" s="26"/>
      <c r="D76" s="16"/>
      <c r="E76" s="25"/>
      <c r="F76" s="19"/>
      <c r="G76" s="19"/>
      <c r="H76" s="16"/>
      <c r="I76" s="19"/>
      <c r="J76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6" s="33" t="str">
        <f t="shared" si="5"/>
        <v/>
      </c>
      <c r="L76" s="7"/>
      <c r="M76" s="8"/>
      <c r="N76" s="9"/>
    </row>
    <row r="77" spans="1:14" ht="262.5" x14ac:dyDescent="0.35">
      <c r="A77" s="16"/>
      <c r="B77" s="25"/>
      <c r="C77" s="26"/>
      <c r="D77" s="16"/>
      <c r="E77" s="25"/>
      <c r="F77" s="19"/>
      <c r="G77" s="19"/>
      <c r="H77" s="16"/>
      <c r="I77" s="19"/>
      <c r="J77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7" s="33" t="str">
        <f t="shared" si="5"/>
        <v/>
      </c>
      <c r="L77" s="7"/>
      <c r="M77" s="8"/>
      <c r="N77" s="9"/>
    </row>
    <row r="78" spans="1:14" ht="262.5" x14ac:dyDescent="0.35">
      <c r="A78" s="16"/>
      <c r="B78" s="25"/>
      <c r="C78" s="26"/>
      <c r="D78" s="16"/>
      <c r="E78" s="25"/>
      <c r="F78" s="19"/>
      <c r="G78" s="19"/>
      <c r="H78" s="16"/>
      <c r="I78" s="19"/>
      <c r="J78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8" s="33" t="str">
        <f t="shared" si="5"/>
        <v/>
      </c>
      <c r="L78" s="7"/>
      <c r="M78" s="8"/>
      <c r="N78" s="9"/>
    </row>
    <row r="79" spans="1:14" ht="262.5" x14ac:dyDescent="0.35">
      <c r="A79" s="16"/>
      <c r="B79" s="25"/>
      <c r="C79" s="26"/>
      <c r="D79" s="16"/>
      <c r="E79" s="25"/>
      <c r="F79" s="19"/>
      <c r="G79" s="19"/>
      <c r="H79" s="16"/>
      <c r="I79" s="19"/>
      <c r="J79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79" s="33" t="str">
        <f t="shared" si="5"/>
        <v/>
      </c>
      <c r="L79" s="7"/>
      <c r="M79" s="8"/>
      <c r="N79" s="9"/>
    </row>
    <row r="80" spans="1:14" ht="262.5" x14ac:dyDescent="0.35">
      <c r="A80" s="16"/>
      <c r="B80" s="25"/>
      <c r="C80" s="26"/>
      <c r="D80" s="16"/>
      <c r="E80" s="25"/>
      <c r="F80" s="19"/>
      <c r="G80" s="19"/>
      <c r="H80" s="16"/>
      <c r="I80" s="19"/>
      <c r="J80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80" s="33" t="str">
        <f t="shared" si="5"/>
        <v/>
      </c>
      <c r="L80" s="7"/>
      <c r="M80" s="8"/>
      <c r="N80" s="9"/>
    </row>
    <row r="81" spans="1:14" ht="262.5" x14ac:dyDescent="0.35">
      <c r="A81" s="20" t="s">
        <v>153</v>
      </c>
      <c r="B81" s="21" t="s">
        <v>344</v>
      </c>
      <c r="C81" s="22" t="s">
        <v>131</v>
      </c>
      <c r="D81" s="20"/>
      <c r="E81" s="21" t="s">
        <v>345</v>
      </c>
      <c r="F81" s="23" t="s">
        <v>346</v>
      </c>
      <c r="G81" s="23"/>
      <c r="H81" s="16" t="s">
        <v>15</v>
      </c>
      <c r="I81" s="19" t="s">
        <v>16</v>
      </c>
      <c r="J81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1" s="33" t="str">
        <f t="shared" si="5"/>
        <v/>
      </c>
      <c r="L81" s="7">
        <v>3287702</v>
      </c>
      <c r="M81" s="8" t="s">
        <v>133</v>
      </c>
      <c r="N81" s="9" t="s">
        <v>356</v>
      </c>
    </row>
    <row r="82" spans="1:14" ht="262.5" x14ac:dyDescent="0.35">
      <c r="A82" s="20"/>
      <c r="B82" s="21"/>
      <c r="C82" s="22"/>
      <c r="D82" s="20"/>
      <c r="E82" s="21"/>
      <c r="F82" s="24"/>
      <c r="G82" s="24"/>
      <c r="H82" s="16"/>
      <c r="I82" s="19"/>
      <c r="J82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2" s="33" t="str">
        <f t="shared" si="5"/>
        <v/>
      </c>
      <c r="L82" s="7">
        <v>3080212</v>
      </c>
      <c r="M82" s="8" t="s">
        <v>14</v>
      </c>
      <c r="N82" s="9" t="s">
        <v>356</v>
      </c>
    </row>
    <row r="83" spans="1:14" ht="262.5" x14ac:dyDescent="0.35">
      <c r="A83" s="20"/>
      <c r="B83" s="21"/>
      <c r="C83" s="22"/>
      <c r="D83" s="20"/>
      <c r="E83" s="21"/>
      <c r="F83" s="24"/>
      <c r="G83" s="24"/>
      <c r="H83" s="16"/>
      <c r="I83" s="19"/>
      <c r="J83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3" s="33" t="str">
        <f t="shared" si="5"/>
        <v/>
      </c>
      <c r="L83" s="7">
        <v>522990</v>
      </c>
      <c r="M83" s="8" t="s">
        <v>134</v>
      </c>
      <c r="N83" s="9" t="s">
        <v>356</v>
      </c>
    </row>
    <row r="84" spans="1:14" ht="262.5" x14ac:dyDescent="0.35">
      <c r="A84" s="20"/>
      <c r="B84" s="21"/>
      <c r="C84" s="22"/>
      <c r="D84" s="20"/>
      <c r="E84" s="21"/>
      <c r="F84" s="24"/>
      <c r="G84" s="24"/>
      <c r="H84" s="16"/>
      <c r="I84" s="19"/>
      <c r="J84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4" s="33" t="str">
        <f t="shared" si="5"/>
        <v/>
      </c>
      <c r="L84" s="7"/>
      <c r="M84" s="8"/>
      <c r="N84" s="9"/>
    </row>
    <row r="85" spans="1:14" ht="262.5" x14ac:dyDescent="0.35">
      <c r="A85" s="20"/>
      <c r="B85" s="21"/>
      <c r="C85" s="22"/>
      <c r="D85" s="20"/>
      <c r="E85" s="21"/>
      <c r="F85" s="24"/>
      <c r="G85" s="24"/>
      <c r="H85" s="16"/>
      <c r="I85" s="19"/>
      <c r="J85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5" s="33" t="str">
        <f t="shared" si="5"/>
        <v/>
      </c>
      <c r="L85" s="7"/>
      <c r="M85" s="8"/>
      <c r="N85" s="9"/>
    </row>
    <row r="86" spans="1:14" ht="262.5" x14ac:dyDescent="0.35">
      <c r="A86" s="20"/>
      <c r="B86" s="21"/>
      <c r="C86" s="22"/>
      <c r="D86" s="20"/>
      <c r="E86" s="21"/>
      <c r="F86" s="24"/>
      <c r="G86" s="24"/>
      <c r="H86" s="16"/>
      <c r="I86" s="19"/>
      <c r="J86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6" s="33" t="str">
        <f t="shared" si="5"/>
        <v/>
      </c>
      <c r="L86" s="7"/>
      <c r="M86" s="8"/>
      <c r="N86" s="9"/>
    </row>
    <row r="87" spans="1:14" ht="262.5" x14ac:dyDescent="0.35">
      <c r="A87" s="20"/>
      <c r="B87" s="21"/>
      <c r="C87" s="22"/>
      <c r="D87" s="20"/>
      <c r="E87" s="21"/>
      <c r="F87" s="24"/>
      <c r="G87" s="24"/>
      <c r="H87" s="16"/>
      <c r="I87" s="19"/>
      <c r="J87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7" s="33" t="str">
        <f t="shared" si="5"/>
        <v/>
      </c>
      <c r="L87" s="7"/>
      <c r="M87" s="8"/>
      <c r="N87" s="9"/>
    </row>
    <row r="88" spans="1:14" ht="262.5" x14ac:dyDescent="0.35">
      <c r="A88" s="20"/>
      <c r="B88" s="21"/>
      <c r="C88" s="22"/>
      <c r="D88" s="20"/>
      <c r="E88" s="21"/>
      <c r="F88" s="24"/>
      <c r="G88" s="24"/>
      <c r="H88" s="16"/>
      <c r="I88" s="19"/>
      <c r="J88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8" s="33" t="str">
        <f t="shared" si="5"/>
        <v/>
      </c>
      <c r="L88" s="7"/>
      <c r="M88" s="8"/>
      <c r="N88" s="9"/>
    </row>
    <row r="89" spans="1:14" ht="262.5" x14ac:dyDescent="0.35">
      <c r="A89" s="20"/>
      <c r="B89" s="21"/>
      <c r="C89" s="22"/>
      <c r="D89" s="20"/>
      <c r="E89" s="21"/>
      <c r="F89" s="24"/>
      <c r="G89" s="24"/>
      <c r="H89" s="16"/>
      <c r="I89" s="19"/>
      <c r="J89" s="33" t="str">
        <f t="shared" si="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89" s="33" t="str">
        <f t="shared" si="5"/>
        <v/>
      </c>
      <c r="L89" s="7"/>
      <c r="M89" s="8"/>
      <c r="N89" s="9"/>
    </row>
    <row r="90" spans="1:14" ht="14.5" customHeight="1" x14ac:dyDescent="0.35">
      <c r="A90" s="20" t="s">
        <v>153</v>
      </c>
      <c r="B90" s="21" t="s">
        <v>344</v>
      </c>
      <c r="C90" s="22" t="s">
        <v>131</v>
      </c>
      <c r="D90" s="20"/>
      <c r="E90" s="21" t="s">
        <v>345</v>
      </c>
      <c r="F90" s="23" t="s">
        <v>346</v>
      </c>
      <c r="G90" s="23"/>
      <c r="H90" s="16" t="s">
        <v>17</v>
      </c>
      <c r="I90" s="19" t="s">
        <v>18</v>
      </c>
      <c r="J90" s="33" t="str">
        <f t="shared" si="4"/>
        <v>-030-039-044-051-082-084-090-093-095-096-097-098-171-180-250-283-322-325-328-330-356-384-409-415-420-444-514-580-4027-4029-</v>
      </c>
      <c r="K90" s="33" t="str">
        <f t="shared" si="5"/>
        <v>x</v>
      </c>
      <c r="L90" s="7">
        <v>3287702</v>
      </c>
      <c r="M90" s="8" t="s">
        <v>133</v>
      </c>
      <c r="N90" s="9" t="s">
        <v>356</v>
      </c>
    </row>
    <row r="91" spans="1:14" ht="125" x14ac:dyDescent="0.35">
      <c r="A91" s="20"/>
      <c r="B91" s="21"/>
      <c r="C91" s="22"/>
      <c r="D91" s="20"/>
      <c r="E91" s="21"/>
      <c r="F91" s="24"/>
      <c r="G91" s="24"/>
      <c r="H91" s="16"/>
      <c r="I91" s="19"/>
      <c r="J91" s="33" t="str">
        <f t="shared" si="4"/>
        <v>-030-039-044-051-082-084-090-093-095-096-097-098-171-180-250-283-322-325-328-330-356-384-409-415-420-444-514-580-4027-4029-</v>
      </c>
      <c r="K91" s="33" t="str">
        <f t="shared" si="5"/>
        <v>x</v>
      </c>
      <c r="L91" s="7">
        <v>3080212</v>
      </c>
      <c r="M91" s="8" t="s">
        <v>14</v>
      </c>
      <c r="N91" s="9" t="s">
        <v>356</v>
      </c>
    </row>
    <row r="92" spans="1:14" ht="125" x14ac:dyDescent="0.35">
      <c r="A92" s="20"/>
      <c r="B92" s="21"/>
      <c r="C92" s="22"/>
      <c r="D92" s="20"/>
      <c r="E92" s="21"/>
      <c r="F92" s="24"/>
      <c r="G92" s="24"/>
      <c r="H92" s="16"/>
      <c r="I92" s="19"/>
      <c r="J92" s="33" t="str">
        <f t="shared" si="4"/>
        <v>-030-039-044-051-082-084-090-093-095-096-097-098-171-180-250-283-322-325-328-330-356-384-409-415-420-444-514-580-4027-4029-</v>
      </c>
      <c r="K92" s="33" t="str">
        <f t="shared" si="5"/>
        <v>x</v>
      </c>
      <c r="L92" s="7">
        <v>522990</v>
      </c>
      <c r="M92" s="8" t="s">
        <v>134</v>
      </c>
      <c r="N92" s="9" t="s">
        <v>356</v>
      </c>
    </row>
    <row r="93" spans="1:14" ht="125" x14ac:dyDescent="0.35">
      <c r="A93" s="20"/>
      <c r="B93" s="21"/>
      <c r="C93" s="22"/>
      <c r="D93" s="20"/>
      <c r="E93" s="21"/>
      <c r="F93" s="24"/>
      <c r="G93" s="24"/>
      <c r="H93" s="16"/>
      <c r="I93" s="19"/>
      <c r="J93" s="33" t="str">
        <f t="shared" si="4"/>
        <v>-030-039-044-051-082-084-090-093-095-096-097-098-171-180-250-283-322-325-328-330-356-384-409-415-420-444-514-580-4027-4029-</v>
      </c>
      <c r="K93" s="33" t="str">
        <f t="shared" si="5"/>
        <v>x</v>
      </c>
      <c r="L93" s="7">
        <v>633951</v>
      </c>
      <c r="M93" s="8" t="s">
        <v>135</v>
      </c>
      <c r="N93" s="9" t="s">
        <v>356</v>
      </c>
    </row>
    <row r="94" spans="1:14" ht="125" x14ac:dyDescent="0.35">
      <c r="A94" s="20"/>
      <c r="B94" s="21"/>
      <c r="C94" s="22"/>
      <c r="D94" s="20"/>
      <c r="E94" s="21"/>
      <c r="F94" s="24"/>
      <c r="G94" s="24"/>
      <c r="H94" s="16"/>
      <c r="I94" s="19"/>
      <c r="J94" s="33" t="str">
        <f t="shared" si="4"/>
        <v>-030-039-044-051-082-084-090-093-095-096-097-098-171-180-250-283-322-325-328-330-356-384-409-415-420-444-514-580-4027-4029-</v>
      </c>
      <c r="K94" s="33" t="str">
        <f t="shared" si="5"/>
        <v>x</v>
      </c>
      <c r="L94" s="7">
        <v>441781</v>
      </c>
      <c r="M94" s="8" t="s">
        <v>13</v>
      </c>
      <c r="N94" s="9" t="s">
        <v>356</v>
      </c>
    </row>
    <row r="95" spans="1:14" ht="125" x14ac:dyDescent="0.35">
      <c r="A95" s="20"/>
      <c r="B95" s="21"/>
      <c r="C95" s="22"/>
      <c r="D95" s="20"/>
      <c r="E95" s="21"/>
      <c r="F95" s="24"/>
      <c r="G95" s="24"/>
      <c r="H95" s="16"/>
      <c r="I95" s="19"/>
      <c r="J95" s="33" t="str">
        <f t="shared" si="4"/>
        <v>-030-039-044-051-082-084-090-093-095-096-097-098-171-180-250-283-322-325-328-330-356-384-409-415-420-444-514-580-4027-4029-</v>
      </c>
      <c r="K95" s="33" t="str">
        <f t="shared" si="5"/>
        <v>x</v>
      </c>
      <c r="L95" s="7">
        <v>776539</v>
      </c>
      <c r="M95" s="8" t="s">
        <v>134</v>
      </c>
      <c r="N95" s="9" t="s">
        <v>356</v>
      </c>
    </row>
    <row r="96" spans="1:14" ht="125" x14ac:dyDescent="0.35">
      <c r="A96" s="20"/>
      <c r="B96" s="21"/>
      <c r="C96" s="22"/>
      <c r="D96" s="20"/>
      <c r="E96" s="21"/>
      <c r="F96" s="24"/>
      <c r="G96" s="24"/>
      <c r="H96" s="16"/>
      <c r="I96" s="19"/>
      <c r="J96" s="33" t="str">
        <f t="shared" si="4"/>
        <v>-030-039-044-051-082-084-090-093-095-096-097-098-171-180-250-283-322-325-328-330-356-384-409-415-420-444-514-580-4027-4029-</v>
      </c>
      <c r="K96" s="33" t="str">
        <f t="shared" si="5"/>
        <v/>
      </c>
      <c r="L96" s="7"/>
      <c r="M96" s="8"/>
      <c r="N96" s="9"/>
    </row>
    <row r="97" spans="1:14" ht="125" x14ac:dyDescent="0.35">
      <c r="A97" s="20"/>
      <c r="B97" s="21"/>
      <c r="C97" s="22"/>
      <c r="D97" s="20"/>
      <c r="E97" s="21"/>
      <c r="F97" s="24"/>
      <c r="G97" s="24"/>
      <c r="H97" s="16"/>
      <c r="I97" s="19"/>
      <c r="J97" s="33" t="str">
        <f t="shared" si="4"/>
        <v>-030-039-044-051-082-084-090-093-095-096-097-098-171-180-250-283-322-325-328-330-356-384-409-415-420-444-514-580-4027-4029-</v>
      </c>
      <c r="K97" s="33" t="str">
        <f t="shared" si="5"/>
        <v/>
      </c>
      <c r="L97" s="7"/>
      <c r="M97" s="8"/>
      <c r="N97" s="9"/>
    </row>
    <row r="98" spans="1:14" ht="125" x14ac:dyDescent="0.35">
      <c r="A98" s="20"/>
      <c r="B98" s="21"/>
      <c r="C98" s="22"/>
      <c r="D98" s="20"/>
      <c r="E98" s="21"/>
      <c r="F98" s="24"/>
      <c r="G98" s="24"/>
      <c r="H98" s="16"/>
      <c r="I98" s="19"/>
      <c r="J98" s="33" t="str">
        <f t="shared" si="4"/>
        <v>-030-039-044-051-082-084-090-093-095-096-097-098-171-180-250-283-322-325-328-330-356-384-409-415-420-444-514-580-4027-4029-</v>
      </c>
      <c r="K98" s="33" t="str">
        <f t="shared" si="5"/>
        <v/>
      </c>
      <c r="L98" s="7"/>
      <c r="M98" s="8"/>
      <c r="N98" s="9"/>
    </row>
    <row r="99" spans="1:14" ht="14.5" customHeight="1" x14ac:dyDescent="0.35">
      <c r="A99" s="20" t="s">
        <v>153</v>
      </c>
      <c r="B99" s="22" t="s">
        <v>344</v>
      </c>
      <c r="C99" s="22" t="s">
        <v>131</v>
      </c>
      <c r="D99" s="20"/>
      <c r="E99" s="20" t="s">
        <v>345</v>
      </c>
      <c r="F99" s="23" t="s">
        <v>346</v>
      </c>
      <c r="G99" s="23"/>
      <c r="H99" s="16" t="s">
        <v>69</v>
      </c>
      <c r="I99" s="28" t="s">
        <v>12</v>
      </c>
      <c r="J99" s="33" t="str">
        <f t="shared" si="4"/>
        <v>-030-039-044-046-053-067-084-090-095-097-098-135-250-258-281-320-322-328-358-383-415-422-502-554-578-650-</v>
      </c>
      <c r="K99" s="33" t="str">
        <f t="shared" si="5"/>
        <v>x</v>
      </c>
      <c r="L99" s="7">
        <v>3287702</v>
      </c>
      <c r="M99" s="8" t="s">
        <v>133</v>
      </c>
      <c r="N99" s="9" t="s">
        <v>356</v>
      </c>
    </row>
    <row r="100" spans="1:14" ht="14.5" customHeight="1" x14ac:dyDescent="0.35">
      <c r="A100" s="20"/>
      <c r="B100" s="22"/>
      <c r="C100" s="22"/>
      <c r="D100" s="20"/>
      <c r="E100" s="20"/>
      <c r="F100" s="24"/>
      <c r="G100" s="24"/>
      <c r="H100" s="16"/>
      <c r="I100" s="28"/>
      <c r="J100" s="33" t="str">
        <f t="shared" si="4"/>
        <v>-030-039-044-046-053-067-084-090-095-097-098-135-250-258-281-320-322-328-358-383-415-422-502-554-578-650-</v>
      </c>
      <c r="K100" s="33" t="str">
        <f t="shared" si="5"/>
        <v>x</v>
      </c>
      <c r="L100" s="7">
        <v>3080212</v>
      </c>
      <c r="M100" s="8" t="s">
        <v>14</v>
      </c>
      <c r="N100" s="9" t="s">
        <v>356</v>
      </c>
    </row>
    <row r="101" spans="1:14" ht="14.5" customHeight="1" x14ac:dyDescent="0.35">
      <c r="A101" s="20"/>
      <c r="B101" s="22"/>
      <c r="C101" s="22"/>
      <c r="D101" s="20"/>
      <c r="E101" s="20"/>
      <c r="F101" s="24"/>
      <c r="G101" s="24"/>
      <c r="H101" s="16"/>
      <c r="I101" s="28"/>
      <c r="J101" s="33" t="str">
        <f t="shared" si="4"/>
        <v>-030-039-044-046-053-067-084-090-095-097-098-135-250-258-281-320-322-328-358-383-415-422-502-554-578-650-</v>
      </c>
      <c r="K101" s="33" t="str">
        <f t="shared" si="5"/>
        <v>x</v>
      </c>
      <c r="L101" s="7">
        <v>522990</v>
      </c>
      <c r="M101" s="8" t="s">
        <v>134</v>
      </c>
      <c r="N101" s="9" t="s">
        <v>356</v>
      </c>
    </row>
    <row r="102" spans="1:14" ht="112.5" x14ac:dyDescent="0.35">
      <c r="A102" s="20"/>
      <c r="B102" s="22"/>
      <c r="C102" s="22"/>
      <c r="D102" s="20"/>
      <c r="E102" s="20"/>
      <c r="F102" s="24"/>
      <c r="G102" s="24"/>
      <c r="H102" s="16"/>
      <c r="I102" s="28"/>
      <c r="J102" s="33" t="str">
        <f t="shared" si="4"/>
        <v>-030-039-044-046-053-067-084-090-095-097-098-135-250-258-281-320-322-328-358-383-415-422-502-554-578-650-</v>
      </c>
      <c r="K102" s="33" t="str">
        <f t="shared" si="5"/>
        <v>x</v>
      </c>
      <c r="L102" s="7">
        <v>633951</v>
      </c>
      <c r="M102" s="8" t="s">
        <v>135</v>
      </c>
      <c r="N102" s="9" t="s">
        <v>356</v>
      </c>
    </row>
    <row r="103" spans="1:14" ht="112.5" x14ac:dyDescent="0.35">
      <c r="A103" s="20"/>
      <c r="B103" s="22"/>
      <c r="C103" s="22"/>
      <c r="D103" s="20"/>
      <c r="E103" s="20"/>
      <c r="F103" s="24"/>
      <c r="G103" s="24"/>
      <c r="H103" s="16"/>
      <c r="I103" s="28"/>
      <c r="J103" s="33" t="str">
        <f t="shared" si="4"/>
        <v>-030-039-044-046-053-067-084-090-095-097-098-135-250-258-281-320-322-328-358-383-415-422-502-554-578-650-</v>
      </c>
      <c r="K103" s="33" t="str">
        <f t="shared" si="5"/>
        <v>x</v>
      </c>
      <c r="L103" s="7">
        <v>441781</v>
      </c>
      <c r="M103" s="8" t="s">
        <v>13</v>
      </c>
      <c r="N103" s="9" t="s">
        <v>356</v>
      </c>
    </row>
    <row r="104" spans="1:14" ht="112.5" x14ac:dyDescent="0.35">
      <c r="A104" s="20"/>
      <c r="B104" s="22"/>
      <c r="C104" s="22"/>
      <c r="D104" s="20"/>
      <c r="E104" s="20"/>
      <c r="F104" s="24"/>
      <c r="G104" s="24"/>
      <c r="H104" s="16"/>
      <c r="I104" s="28"/>
      <c r="J104" s="33" t="str">
        <f t="shared" si="4"/>
        <v>-030-039-044-046-053-067-084-090-095-097-098-135-250-258-281-320-322-328-358-383-415-422-502-554-578-650-</v>
      </c>
      <c r="K104" s="33" t="str">
        <f t="shared" si="5"/>
        <v>x</v>
      </c>
      <c r="L104" s="7">
        <v>776539</v>
      </c>
      <c r="M104" s="8" t="s">
        <v>134</v>
      </c>
      <c r="N104" s="9" t="s">
        <v>356</v>
      </c>
    </row>
    <row r="105" spans="1:14" ht="112.5" x14ac:dyDescent="0.35">
      <c r="A105" s="20"/>
      <c r="B105" s="22"/>
      <c r="C105" s="22"/>
      <c r="D105" s="20"/>
      <c r="E105" s="20"/>
      <c r="F105" s="24"/>
      <c r="G105" s="24"/>
      <c r="H105" s="16"/>
      <c r="I105" s="28"/>
      <c r="J105" s="33" t="str">
        <f t="shared" si="4"/>
        <v>-030-039-044-046-053-067-084-090-095-097-098-135-250-258-281-320-322-328-358-383-415-422-502-554-578-650-</v>
      </c>
      <c r="K105" s="33" t="str">
        <f t="shared" si="5"/>
        <v>x</v>
      </c>
      <c r="L105" s="7">
        <v>785155</v>
      </c>
      <c r="M105" s="8" t="s">
        <v>136</v>
      </c>
      <c r="N105" s="9" t="s">
        <v>356</v>
      </c>
    </row>
    <row r="106" spans="1:14" ht="112.5" x14ac:dyDescent="0.35">
      <c r="A106" s="20"/>
      <c r="B106" s="22"/>
      <c r="C106" s="22"/>
      <c r="D106" s="20"/>
      <c r="E106" s="20"/>
      <c r="F106" s="24"/>
      <c r="G106" s="24"/>
      <c r="H106" s="16"/>
      <c r="I106" s="28"/>
      <c r="J106" s="33" t="str">
        <f t="shared" si="4"/>
        <v>-030-039-044-046-053-067-084-090-095-097-098-135-250-258-281-320-322-328-358-383-415-422-502-554-578-650-</v>
      </c>
      <c r="K106" s="33" t="str">
        <f t="shared" si="5"/>
        <v/>
      </c>
      <c r="L106" s="7"/>
      <c r="M106" s="8"/>
      <c r="N106" s="9"/>
    </row>
    <row r="107" spans="1:14" ht="112.5" x14ac:dyDescent="0.35">
      <c r="A107" s="20"/>
      <c r="B107" s="22"/>
      <c r="C107" s="22"/>
      <c r="D107" s="20"/>
      <c r="E107" s="20"/>
      <c r="F107" s="24"/>
      <c r="G107" s="24"/>
      <c r="H107" s="16"/>
      <c r="I107" s="28"/>
      <c r="J107" s="33" t="str">
        <f t="shared" si="4"/>
        <v>-030-039-044-046-053-067-084-090-095-097-098-135-250-258-281-320-322-328-358-383-415-422-502-554-578-650-</v>
      </c>
      <c r="K107" s="33" t="str">
        <f t="shared" si="5"/>
        <v/>
      </c>
      <c r="L107" s="7"/>
      <c r="M107" s="8"/>
      <c r="N107" s="9"/>
    </row>
    <row r="108" spans="1:14" ht="112.5" x14ac:dyDescent="0.35">
      <c r="A108" s="20"/>
      <c r="B108" s="22"/>
      <c r="C108" s="22"/>
      <c r="D108" s="20"/>
      <c r="E108" s="20"/>
      <c r="F108" s="24"/>
      <c r="G108" s="24"/>
      <c r="H108" s="16"/>
      <c r="I108" s="28"/>
      <c r="J108" s="33" t="str">
        <f t="shared" si="4"/>
        <v>-030-039-044-046-053-067-084-090-095-097-098-135-250-258-281-320-322-328-358-383-415-422-502-554-578-650-</v>
      </c>
      <c r="K108" s="33" t="str">
        <f t="shared" si="5"/>
        <v/>
      </c>
      <c r="L108" s="7"/>
      <c r="M108" s="8"/>
      <c r="N108" s="9"/>
    </row>
    <row r="109" spans="1:14" ht="262.5" x14ac:dyDescent="0.35">
      <c r="A109" s="16" t="s">
        <v>154</v>
      </c>
      <c r="B109" s="25" t="s">
        <v>344</v>
      </c>
      <c r="C109" s="26" t="s">
        <v>131</v>
      </c>
      <c r="D109" s="16"/>
      <c r="E109" s="25" t="s">
        <v>345</v>
      </c>
      <c r="F109" s="27" t="s">
        <v>346</v>
      </c>
      <c r="G109" s="27"/>
      <c r="H109" s="16" t="s">
        <v>36</v>
      </c>
      <c r="I109" s="19" t="s">
        <v>37</v>
      </c>
      <c r="J109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09" s="33" t="str">
        <f t="shared" si="5"/>
        <v>x</v>
      </c>
      <c r="L109" s="7">
        <v>1621155</v>
      </c>
      <c r="M109" s="8" t="s">
        <v>137</v>
      </c>
      <c r="N109" s="9" t="s">
        <v>356</v>
      </c>
    </row>
    <row r="110" spans="1:14" ht="262.5" x14ac:dyDescent="0.35">
      <c r="A110" s="16"/>
      <c r="B110" s="25"/>
      <c r="C110" s="26"/>
      <c r="D110" s="16"/>
      <c r="E110" s="25"/>
      <c r="F110" s="19"/>
      <c r="G110" s="19"/>
      <c r="H110" s="16"/>
      <c r="I110" s="19"/>
      <c r="J110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0" s="33" t="str">
        <f t="shared" si="5"/>
        <v>x</v>
      </c>
      <c r="L110" s="7">
        <v>846704</v>
      </c>
      <c r="M110" s="8" t="s">
        <v>138</v>
      </c>
      <c r="N110" s="9" t="s">
        <v>356</v>
      </c>
    </row>
    <row r="111" spans="1:14" ht="262.5" x14ac:dyDescent="0.35">
      <c r="A111" s="16"/>
      <c r="B111" s="25"/>
      <c r="C111" s="26"/>
      <c r="D111" s="16"/>
      <c r="E111" s="25"/>
      <c r="F111" s="19"/>
      <c r="G111" s="19"/>
      <c r="H111" s="16"/>
      <c r="I111" s="19"/>
      <c r="J111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1" s="33" t="str">
        <f t="shared" si="5"/>
        <v>x</v>
      </c>
      <c r="L111" s="7">
        <v>3384077</v>
      </c>
      <c r="M111" s="8" t="s">
        <v>139</v>
      </c>
      <c r="N111" s="9" t="s">
        <v>356</v>
      </c>
    </row>
    <row r="112" spans="1:14" ht="262.5" x14ac:dyDescent="0.35">
      <c r="A112" s="16"/>
      <c r="B112" s="25"/>
      <c r="C112" s="26"/>
      <c r="D112" s="16"/>
      <c r="E112" s="25"/>
      <c r="F112" s="19"/>
      <c r="G112" s="19"/>
      <c r="H112" s="16"/>
      <c r="I112" s="19"/>
      <c r="J112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2" s="33" t="str">
        <f t="shared" si="5"/>
        <v>x</v>
      </c>
      <c r="L112" s="7">
        <v>3763729</v>
      </c>
      <c r="M112" s="8" t="s">
        <v>140</v>
      </c>
      <c r="N112" s="9" t="s">
        <v>356</v>
      </c>
    </row>
    <row r="113" spans="1:14" ht="262.5" x14ac:dyDescent="0.35">
      <c r="A113" s="16"/>
      <c r="B113" s="25"/>
      <c r="C113" s="26"/>
      <c r="D113" s="16"/>
      <c r="E113" s="25"/>
      <c r="F113" s="19"/>
      <c r="G113" s="19"/>
      <c r="H113" s="16"/>
      <c r="I113" s="19"/>
      <c r="J113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3" s="33" t="str">
        <f t="shared" si="5"/>
        <v>x</v>
      </c>
      <c r="L113" s="7">
        <v>1001092</v>
      </c>
      <c r="M113" s="8" t="s">
        <v>141</v>
      </c>
      <c r="N113" s="9" t="s">
        <v>356</v>
      </c>
    </row>
    <row r="114" spans="1:14" ht="262.5" x14ac:dyDescent="0.35">
      <c r="A114" s="16"/>
      <c r="B114" s="25"/>
      <c r="C114" s="26"/>
      <c r="D114" s="16"/>
      <c r="E114" s="25"/>
      <c r="F114" s="19"/>
      <c r="G114" s="19"/>
      <c r="H114" s="16"/>
      <c r="I114" s="19"/>
      <c r="J114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4" s="33" t="str">
        <f t="shared" si="5"/>
        <v>x</v>
      </c>
      <c r="L114" s="7">
        <v>3145767</v>
      </c>
      <c r="M114" s="8" t="s">
        <v>142</v>
      </c>
      <c r="N114" s="9" t="s">
        <v>356</v>
      </c>
    </row>
    <row r="115" spans="1:14" ht="262.5" x14ac:dyDescent="0.35">
      <c r="A115" s="16"/>
      <c r="B115" s="25"/>
      <c r="C115" s="26"/>
      <c r="D115" s="16"/>
      <c r="E115" s="25"/>
      <c r="F115" s="19"/>
      <c r="G115" s="19"/>
      <c r="H115" s="16"/>
      <c r="I115" s="19"/>
      <c r="J115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5" s="33" t="str">
        <f t="shared" si="5"/>
        <v>x</v>
      </c>
      <c r="L115" s="7">
        <v>1676204</v>
      </c>
      <c r="M115" s="8" t="s">
        <v>143</v>
      </c>
      <c r="N115" s="9" t="s">
        <v>356</v>
      </c>
    </row>
    <row r="116" spans="1:14" ht="262.5" x14ac:dyDescent="0.35">
      <c r="A116" s="16"/>
      <c r="B116" s="25"/>
      <c r="C116" s="26"/>
      <c r="D116" s="16"/>
      <c r="E116" s="25"/>
      <c r="F116" s="19"/>
      <c r="G116" s="19"/>
      <c r="H116" s="16"/>
      <c r="I116" s="19"/>
      <c r="J116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6" s="33" t="str">
        <f t="shared" si="5"/>
        <v>x</v>
      </c>
      <c r="L116" s="7">
        <v>3105416</v>
      </c>
      <c r="M116" s="8" t="s">
        <v>144</v>
      </c>
      <c r="N116" s="9" t="s">
        <v>356</v>
      </c>
    </row>
    <row r="117" spans="1:14" ht="262.5" x14ac:dyDescent="0.35">
      <c r="A117" s="16"/>
      <c r="B117" s="25"/>
      <c r="C117" s="26"/>
      <c r="D117" s="16"/>
      <c r="E117" s="25"/>
      <c r="F117" s="19"/>
      <c r="G117" s="19"/>
      <c r="H117" s="16"/>
      <c r="I117" s="19"/>
      <c r="J117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7" s="33" t="str">
        <f t="shared" si="5"/>
        <v>x</v>
      </c>
      <c r="L117" s="7">
        <v>3105417</v>
      </c>
      <c r="M117" s="8" t="s">
        <v>145</v>
      </c>
      <c r="N117" s="9" t="s">
        <v>356</v>
      </c>
    </row>
    <row r="118" spans="1:14" ht="262.5" x14ac:dyDescent="0.35">
      <c r="A118" s="16"/>
      <c r="B118" s="25"/>
      <c r="C118" s="26"/>
      <c r="D118" s="16"/>
      <c r="E118" s="25"/>
      <c r="F118" s="19"/>
      <c r="G118" s="19"/>
      <c r="H118" s="16"/>
      <c r="I118" s="19"/>
      <c r="J118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8" s="33" t="str">
        <f t="shared" si="5"/>
        <v>x</v>
      </c>
      <c r="L118" s="7">
        <v>3386471</v>
      </c>
      <c r="M118" s="8" t="s">
        <v>146</v>
      </c>
      <c r="N118" s="9" t="s">
        <v>356</v>
      </c>
    </row>
    <row r="119" spans="1:14" ht="262.5" x14ac:dyDescent="0.35">
      <c r="A119" s="16"/>
      <c r="B119" s="25"/>
      <c r="C119" s="26"/>
      <c r="D119" s="16"/>
      <c r="E119" s="25"/>
      <c r="F119" s="19"/>
      <c r="G119" s="19"/>
      <c r="H119" s="16"/>
      <c r="I119" s="19"/>
      <c r="J119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19" s="33" t="str">
        <f t="shared" si="5"/>
        <v>x</v>
      </c>
      <c r="L119" s="7">
        <v>3375015</v>
      </c>
      <c r="M119" s="8" t="s">
        <v>147</v>
      </c>
      <c r="N119" s="9" t="s">
        <v>356</v>
      </c>
    </row>
    <row r="120" spans="1:14" ht="262.5" x14ac:dyDescent="0.35">
      <c r="A120" s="16"/>
      <c r="B120" s="25"/>
      <c r="C120" s="26"/>
      <c r="D120" s="16"/>
      <c r="E120" s="25"/>
      <c r="F120" s="19"/>
      <c r="G120" s="19"/>
      <c r="H120" s="16"/>
      <c r="I120" s="19"/>
      <c r="J120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0" s="33" t="str">
        <f t="shared" si="5"/>
        <v>x</v>
      </c>
      <c r="L120" s="7">
        <v>3374867</v>
      </c>
      <c r="M120" s="8" t="s">
        <v>148</v>
      </c>
      <c r="N120" s="9" t="s">
        <v>356</v>
      </c>
    </row>
    <row r="121" spans="1:14" ht="262.5" x14ac:dyDescent="0.35">
      <c r="A121" s="16"/>
      <c r="B121" s="25"/>
      <c r="C121" s="26"/>
      <c r="D121" s="16"/>
      <c r="E121" s="25"/>
      <c r="F121" s="19"/>
      <c r="G121" s="19"/>
      <c r="H121" s="16"/>
      <c r="I121" s="19"/>
      <c r="J121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1" s="33" t="str">
        <f t="shared" si="5"/>
        <v>x</v>
      </c>
      <c r="L121" s="7">
        <v>961285</v>
      </c>
      <c r="M121" s="8" t="s">
        <v>149</v>
      </c>
      <c r="N121" s="9" t="s">
        <v>356</v>
      </c>
    </row>
    <row r="122" spans="1:14" ht="262.5" x14ac:dyDescent="0.35">
      <c r="A122" s="16"/>
      <c r="B122" s="25"/>
      <c r="C122" s="26"/>
      <c r="D122" s="16"/>
      <c r="E122" s="25"/>
      <c r="F122" s="19"/>
      <c r="G122" s="19"/>
      <c r="H122" s="16"/>
      <c r="I122" s="19"/>
      <c r="J122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2" s="33" t="str">
        <f t="shared" si="5"/>
        <v>x</v>
      </c>
      <c r="L122" s="7">
        <v>580604</v>
      </c>
      <c r="M122" s="8" t="s">
        <v>150</v>
      </c>
      <c r="N122" s="9" t="s">
        <v>356</v>
      </c>
    </row>
    <row r="123" spans="1:14" ht="262.5" x14ac:dyDescent="0.35">
      <c r="A123" s="16"/>
      <c r="B123" s="25"/>
      <c r="C123" s="26"/>
      <c r="D123" s="16"/>
      <c r="E123" s="25"/>
      <c r="F123" s="19"/>
      <c r="G123" s="19"/>
      <c r="H123" s="16"/>
      <c r="I123" s="19"/>
      <c r="J123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3" s="33" t="str">
        <f t="shared" si="5"/>
        <v>x</v>
      </c>
      <c r="L123" s="7">
        <v>779392</v>
      </c>
      <c r="M123" s="8" t="s">
        <v>151</v>
      </c>
      <c r="N123" s="9" t="s">
        <v>356</v>
      </c>
    </row>
    <row r="124" spans="1:14" ht="262.5" x14ac:dyDescent="0.35">
      <c r="A124" s="16"/>
      <c r="B124" s="25"/>
      <c r="C124" s="26"/>
      <c r="D124" s="16"/>
      <c r="E124" s="25"/>
      <c r="F124" s="19"/>
      <c r="G124" s="19"/>
      <c r="H124" s="16"/>
      <c r="I124" s="19"/>
      <c r="J124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4" s="33" t="str">
        <f t="shared" si="5"/>
        <v>x</v>
      </c>
      <c r="L124" s="7">
        <v>991504</v>
      </c>
      <c r="M124" s="8" t="s">
        <v>152</v>
      </c>
      <c r="N124" s="9" t="s">
        <v>356</v>
      </c>
    </row>
    <row r="125" spans="1:14" ht="262.5" x14ac:dyDescent="0.35">
      <c r="A125" s="16"/>
      <c r="B125" s="25"/>
      <c r="C125" s="26"/>
      <c r="D125" s="16"/>
      <c r="E125" s="25"/>
      <c r="F125" s="19"/>
      <c r="G125" s="19"/>
      <c r="H125" s="16"/>
      <c r="I125" s="19"/>
      <c r="J125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5" s="33" t="str">
        <f t="shared" si="5"/>
        <v/>
      </c>
      <c r="L125" s="7"/>
      <c r="M125" s="8"/>
      <c r="N125" s="9"/>
    </row>
    <row r="126" spans="1:14" ht="262.5" x14ac:dyDescent="0.35">
      <c r="A126" s="16"/>
      <c r="B126" s="25"/>
      <c r="C126" s="26"/>
      <c r="D126" s="16"/>
      <c r="E126" s="25"/>
      <c r="F126" s="19"/>
      <c r="G126" s="19"/>
      <c r="H126" s="16"/>
      <c r="I126" s="19"/>
      <c r="J126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6" s="33" t="str">
        <f t="shared" si="5"/>
        <v/>
      </c>
      <c r="L126" s="7"/>
      <c r="M126" s="8"/>
      <c r="N126" s="9"/>
    </row>
    <row r="127" spans="1:14" ht="262.5" x14ac:dyDescent="0.35">
      <c r="A127" s="16"/>
      <c r="B127" s="25"/>
      <c r="C127" s="26"/>
      <c r="D127" s="16"/>
      <c r="E127" s="25"/>
      <c r="F127" s="19"/>
      <c r="G127" s="19"/>
      <c r="H127" s="16"/>
      <c r="I127" s="19"/>
      <c r="J127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7" s="33" t="str">
        <f t="shared" si="5"/>
        <v/>
      </c>
      <c r="L127" s="7"/>
      <c r="M127" s="8"/>
      <c r="N127" s="9"/>
    </row>
    <row r="128" spans="1:14" ht="262.5" x14ac:dyDescent="0.35">
      <c r="A128" s="16" t="s">
        <v>40</v>
      </c>
      <c r="B128" s="25" t="s">
        <v>344</v>
      </c>
      <c r="C128" s="26" t="s">
        <v>51</v>
      </c>
      <c r="D128" s="16"/>
      <c r="E128" s="25" t="s">
        <v>345</v>
      </c>
      <c r="F128" s="27" t="s">
        <v>346</v>
      </c>
      <c r="G128" s="27"/>
      <c r="H128" s="16" t="s">
        <v>36</v>
      </c>
      <c r="I128" s="19" t="s">
        <v>37</v>
      </c>
      <c r="J128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8" s="33" t="str">
        <f t="shared" si="5"/>
        <v>x</v>
      </c>
      <c r="L128" s="7">
        <v>309868</v>
      </c>
      <c r="M128" s="8" t="s">
        <v>52</v>
      </c>
      <c r="N128" s="9" t="s">
        <v>347</v>
      </c>
    </row>
    <row r="129" spans="1:14" ht="262.5" x14ac:dyDescent="0.35">
      <c r="A129" s="16"/>
      <c r="B129" s="25"/>
      <c r="C129" s="26"/>
      <c r="D129" s="16"/>
      <c r="E129" s="25"/>
      <c r="F129" s="19"/>
      <c r="G129" s="19"/>
      <c r="H129" s="16"/>
      <c r="I129" s="19"/>
      <c r="J129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29" s="33" t="str">
        <f t="shared" si="5"/>
        <v>x</v>
      </c>
      <c r="L129" s="7">
        <v>241438</v>
      </c>
      <c r="M129" s="8" t="s">
        <v>53</v>
      </c>
      <c r="N129" s="9" t="s">
        <v>347</v>
      </c>
    </row>
    <row r="130" spans="1:14" ht="262.5" x14ac:dyDescent="0.35">
      <c r="A130" s="16"/>
      <c r="B130" s="25"/>
      <c r="C130" s="26"/>
      <c r="D130" s="16"/>
      <c r="E130" s="25"/>
      <c r="F130" s="19"/>
      <c r="G130" s="19"/>
      <c r="H130" s="16"/>
      <c r="I130" s="19"/>
      <c r="J130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0" s="33" t="str">
        <f t="shared" si="5"/>
        <v>x</v>
      </c>
      <c r="L130" s="7">
        <v>761219</v>
      </c>
      <c r="M130" s="8" t="s">
        <v>52</v>
      </c>
      <c r="N130" s="9" t="s">
        <v>347</v>
      </c>
    </row>
    <row r="131" spans="1:14" ht="262.5" x14ac:dyDescent="0.35">
      <c r="A131" s="16"/>
      <c r="B131" s="25"/>
      <c r="C131" s="26"/>
      <c r="D131" s="16"/>
      <c r="E131" s="25"/>
      <c r="F131" s="19"/>
      <c r="G131" s="19"/>
      <c r="H131" s="16"/>
      <c r="I131" s="19"/>
      <c r="J131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1" s="33" t="str">
        <f t="shared" si="5"/>
        <v>x</v>
      </c>
      <c r="L131" s="7">
        <v>131398</v>
      </c>
      <c r="M131" s="8" t="s">
        <v>155</v>
      </c>
      <c r="N131" s="9" t="s">
        <v>347</v>
      </c>
    </row>
    <row r="132" spans="1:14" ht="262.5" x14ac:dyDescent="0.35">
      <c r="A132" s="16"/>
      <c r="B132" s="25"/>
      <c r="C132" s="26"/>
      <c r="D132" s="16"/>
      <c r="E132" s="25"/>
      <c r="F132" s="19"/>
      <c r="G132" s="19"/>
      <c r="H132" s="16"/>
      <c r="I132" s="19"/>
      <c r="J132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2" s="33" t="str">
        <f t="shared" si="5"/>
        <v>x</v>
      </c>
      <c r="L132" s="7">
        <v>1645227</v>
      </c>
      <c r="M132" s="8" t="s">
        <v>156</v>
      </c>
      <c r="N132" s="9" t="s">
        <v>347</v>
      </c>
    </row>
    <row r="133" spans="1:14" ht="262.5" x14ac:dyDescent="0.35">
      <c r="A133" s="16"/>
      <c r="B133" s="25"/>
      <c r="C133" s="26"/>
      <c r="D133" s="16"/>
      <c r="E133" s="25"/>
      <c r="F133" s="19"/>
      <c r="G133" s="19"/>
      <c r="H133" s="16"/>
      <c r="I133" s="19"/>
      <c r="J133" s="33" t="str">
        <f t="shared" si="4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3" s="33" t="str">
        <f t="shared" si="5"/>
        <v>x</v>
      </c>
      <c r="L133" s="7">
        <v>1629750</v>
      </c>
      <c r="M133" s="8" t="s">
        <v>157</v>
      </c>
      <c r="N133" s="9" t="s">
        <v>347</v>
      </c>
    </row>
    <row r="134" spans="1:14" ht="262.5" x14ac:dyDescent="0.35">
      <c r="A134" s="16"/>
      <c r="B134" s="25"/>
      <c r="C134" s="26"/>
      <c r="D134" s="16"/>
      <c r="E134" s="25"/>
      <c r="F134" s="19"/>
      <c r="G134" s="19"/>
      <c r="H134" s="16"/>
      <c r="I134" s="19"/>
      <c r="J134" s="33" t="str">
        <f t="shared" ref="J134:J197" si="6">IF(I134&lt;&gt;"","-"&amp;I134&amp;"-",J133)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4" s="33" t="str">
        <f t="shared" ref="K134:K197" si="7">IF(L134="","",IF(J134="TODOS ÉXITO A NIVEL NACIONAL-","x",IFERROR(IF(VALUE(IF(L134="","",FIND($AJ$2,J134,1)))&lt;&gt;"","x",""),"")))</f>
        <v>x</v>
      </c>
      <c r="L134" s="7">
        <v>6044</v>
      </c>
      <c r="M134" s="8" t="s">
        <v>158</v>
      </c>
      <c r="N134" s="9" t="s">
        <v>347</v>
      </c>
    </row>
    <row r="135" spans="1:14" ht="262.5" x14ac:dyDescent="0.35">
      <c r="A135" s="16"/>
      <c r="B135" s="25"/>
      <c r="C135" s="26"/>
      <c r="D135" s="16"/>
      <c r="E135" s="25"/>
      <c r="F135" s="19"/>
      <c r="G135" s="19"/>
      <c r="H135" s="16"/>
      <c r="I135" s="19"/>
      <c r="J135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5" s="33" t="str">
        <f t="shared" si="7"/>
        <v>x</v>
      </c>
      <c r="L135" s="7">
        <v>1629748</v>
      </c>
      <c r="M135" s="8" t="s">
        <v>159</v>
      </c>
      <c r="N135" s="9" t="s">
        <v>347</v>
      </c>
    </row>
    <row r="136" spans="1:14" ht="262.5" x14ac:dyDescent="0.35">
      <c r="A136" s="16"/>
      <c r="B136" s="25"/>
      <c r="C136" s="26"/>
      <c r="D136" s="16"/>
      <c r="E136" s="25"/>
      <c r="F136" s="19"/>
      <c r="G136" s="19"/>
      <c r="H136" s="16"/>
      <c r="I136" s="19"/>
      <c r="J136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6" s="33" t="str">
        <f t="shared" si="7"/>
        <v>x</v>
      </c>
      <c r="L136" s="7">
        <v>1472453</v>
      </c>
      <c r="M136" s="8" t="s">
        <v>54</v>
      </c>
      <c r="N136" s="9" t="s">
        <v>347</v>
      </c>
    </row>
    <row r="137" spans="1:14" ht="262.5" x14ac:dyDescent="0.35">
      <c r="A137" s="16"/>
      <c r="B137" s="25"/>
      <c r="C137" s="26"/>
      <c r="D137" s="16"/>
      <c r="E137" s="25"/>
      <c r="F137" s="19"/>
      <c r="G137" s="19"/>
      <c r="H137" s="16"/>
      <c r="I137" s="19"/>
      <c r="J137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7" s="33" t="str">
        <f t="shared" si="7"/>
        <v>x</v>
      </c>
      <c r="L137" s="7">
        <v>1472447</v>
      </c>
      <c r="M137" s="8" t="s">
        <v>160</v>
      </c>
      <c r="N137" s="9" t="s">
        <v>347</v>
      </c>
    </row>
    <row r="138" spans="1:14" ht="262.5" x14ac:dyDescent="0.35">
      <c r="A138" s="16"/>
      <c r="B138" s="25"/>
      <c r="C138" s="26"/>
      <c r="D138" s="16"/>
      <c r="E138" s="25"/>
      <c r="F138" s="19"/>
      <c r="G138" s="19"/>
      <c r="H138" s="16"/>
      <c r="I138" s="19"/>
      <c r="J138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8" s="33" t="str">
        <f t="shared" si="7"/>
        <v>x</v>
      </c>
      <c r="L138" s="7">
        <v>564179</v>
      </c>
      <c r="M138" s="8" t="s">
        <v>161</v>
      </c>
      <c r="N138" s="9" t="s">
        <v>347</v>
      </c>
    </row>
    <row r="139" spans="1:14" ht="262.5" x14ac:dyDescent="0.35">
      <c r="A139" s="16"/>
      <c r="B139" s="25"/>
      <c r="C139" s="26"/>
      <c r="D139" s="16"/>
      <c r="E139" s="25"/>
      <c r="F139" s="19"/>
      <c r="G139" s="19"/>
      <c r="H139" s="16"/>
      <c r="I139" s="19"/>
      <c r="J139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39" s="33" t="str">
        <f t="shared" si="7"/>
        <v>x</v>
      </c>
      <c r="L139" s="7">
        <v>1067640</v>
      </c>
      <c r="M139" s="8" t="s">
        <v>162</v>
      </c>
      <c r="N139" s="9" t="s">
        <v>347</v>
      </c>
    </row>
    <row r="140" spans="1:14" ht="262.5" x14ac:dyDescent="0.35">
      <c r="A140" s="16"/>
      <c r="B140" s="25"/>
      <c r="C140" s="26"/>
      <c r="D140" s="16"/>
      <c r="E140" s="25"/>
      <c r="F140" s="19"/>
      <c r="G140" s="19"/>
      <c r="H140" s="16"/>
      <c r="I140" s="19"/>
      <c r="J140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0" s="33" t="str">
        <f t="shared" si="7"/>
        <v/>
      </c>
      <c r="L140" s="7"/>
      <c r="M140" s="8"/>
      <c r="N140" s="9"/>
    </row>
    <row r="141" spans="1:14" ht="262.5" x14ac:dyDescent="0.35">
      <c r="A141" s="16"/>
      <c r="B141" s="25"/>
      <c r="C141" s="26"/>
      <c r="D141" s="16"/>
      <c r="E141" s="25"/>
      <c r="F141" s="19"/>
      <c r="G141" s="19"/>
      <c r="H141" s="16"/>
      <c r="I141" s="19"/>
      <c r="J141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1" s="33" t="str">
        <f t="shared" si="7"/>
        <v/>
      </c>
      <c r="L141" s="7"/>
      <c r="M141" s="8"/>
      <c r="N141" s="9"/>
    </row>
    <row r="142" spans="1:14" ht="262.5" x14ac:dyDescent="0.35">
      <c r="A142" s="16"/>
      <c r="B142" s="25"/>
      <c r="C142" s="26"/>
      <c r="D142" s="16"/>
      <c r="E142" s="25"/>
      <c r="F142" s="19"/>
      <c r="G142" s="19"/>
      <c r="H142" s="16"/>
      <c r="I142" s="19"/>
      <c r="J142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2" s="33" t="str">
        <f t="shared" si="7"/>
        <v/>
      </c>
      <c r="L142" s="7"/>
      <c r="M142" s="8"/>
      <c r="N142" s="9"/>
    </row>
    <row r="143" spans="1:14" ht="262.5" x14ac:dyDescent="0.35">
      <c r="A143" s="16"/>
      <c r="B143" s="25"/>
      <c r="C143" s="26"/>
      <c r="D143" s="16"/>
      <c r="E143" s="25"/>
      <c r="F143" s="19"/>
      <c r="G143" s="19"/>
      <c r="H143" s="16"/>
      <c r="I143" s="19"/>
      <c r="J143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3" s="33" t="str">
        <f t="shared" si="7"/>
        <v/>
      </c>
      <c r="L143" s="7"/>
      <c r="M143" s="8"/>
      <c r="N143" s="9"/>
    </row>
    <row r="144" spans="1:14" ht="262.5" x14ac:dyDescent="0.35">
      <c r="A144" s="16"/>
      <c r="B144" s="25"/>
      <c r="C144" s="26"/>
      <c r="D144" s="16"/>
      <c r="E144" s="25"/>
      <c r="F144" s="19"/>
      <c r="G144" s="19"/>
      <c r="H144" s="16"/>
      <c r="I144" s="19"/>
      <c r="J144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4" s="33" t="str">
        <f t="shared" si="7"/>
        <v/>
      </c>
      <c r="L144" s="7"/>
      <c r="M144" s="8"/>
      <c r="N144" s="9"/>
    </row>
    <row r="145" spans="1:14" ht="262.5" x14ac:dyDescent="0.35">
      <c r="A145" s="16"/>
      <c r="B145" s="25"/>
      <c r="C145" s="26"/>
      <c r="D145" s="16"/>
      <c r="E145" s="25"/>
      <c r="F145" s="19"/>
      <c r="G145" s="19"/>
      <c r="H145" s="16"/>
      <c r="I145" s="19"/>
      <c r="J145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5" s="33" t="str">
        <f t="shared" si="7"/>
        <v/>
      </c>
      <c r="L145" s="7"/>
      <c r="M145" s="8"/>
      <c r="N145" s="9"/>
    </row>
    <row r="146" spans="1:14" ht="262.5" x14ac:dyDescent="0.35">
      <c r="A146" s="16"/>
      <c r="B146" s="25"/>
      <c r="C146" s="26"/>
      <c r="D146" s="16"/>
      <c r="E146" s="25"/>
      <c r="F146" s="19"/>
      <c r="G146" s="19"/>
      <c r="H146" s="16"/>
      <c r="I146" s="19"/>
      <c r="J146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6" s="33" t="str">
        <f t="shared" si="7"/>
        <v/>
      </c>
      <c r="L146" s="7"/>
      <c r="M146" s="8"/>
      <c r="N146" s="9"/>
    </row>
    <row r="147" spans="1:14" ht="262.5" x14ac:dyDescent="0.35">
      <c r="A147" s="16" t="s">
        <v>42</v>
      </c>
      <c r="B147" s="25" t="s">
        <v>344</v>
      </c>
      <c r="C147" s="26" t="s">
        <v>183</v>
      </c>
      <c r="D147" s="16"/>
      <c r="E147" s="25" t="s">
        <v>345</v>
      </c>
      <c r="F147" s="27" t="s">
        <v>346</v>
      </c>
      <c r="G147" s="27"/>
      <c r="H147" s="16" t="s">
        <v>36</v>
      </c>
      <c r="I147" s="19" t="s">
        <v>37</v>
      </c>
      <c r="J147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7" s="33" t="str">
        <f t="shared" si="7"/>
        <v>x</v>
      </c>
      <c r="L147" s="7">
        <v>3821755</v>
      </c>
      <c r="M147" s="8" t="s">
        <v>184</v>
      </c>
      <c r="N147" s="9" t="s">
        <v>347</v>
      </c>
    </row>
    <row r="148" spans="1:14" ht="262.5" x14ac:dyDescent="0.35">
      <c r="A148" s="16"/>
      <c r="B148" s="25"/>
      <c r="C148" s="26"/>
      <c r="D148" s="16"/>
      <c r="E148" s="25"/>
      <c r="F148" s="19"/>
      <c r="G148" s="19"/>
      <c r="H148" s="16"/>
      <c r="I148" s="19"/>
      <c r="J148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8" s="33" t="str">
        <f t="shared" si="7"/>
        <v>x</v>
      </c>
      <c r="L148" s="7">
        <v>3821754</v>
      </c>
      <c r="M148" s="8" t="s">
        <v>185</v>
      </c>
      <c r="N148" s="9" t="s">
        <v>347</v>
      </c>
    </row>
    <row r="149" spans="1:14" ht="262.5" x14ac:dyDescent="0.35">
      <c r="A149" s="16"/>
      <c r="B149" s="25"/>
      <c r="C149" s="26"/>
      <c r="D149" s="16"/>
      <c r="E149" s="25"/>
      <c r="F149" s="19"/>
      <c r="G149" s="19"/>
      <c r="H149" s="16"/>
      <c r="I149" s="19"/>
      <c r="J149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49" s="33" t="str">
        <f t="shared" si="7"/>
        <v>x</v>
      </c>
      <c r="L149" s="7">
        <v>3821753</v>
      </c>
      <c r="M149" s="8" t="s">
        <v>186</v>
      </c>
      <c r="N149" s="9" t="s">
        <v>347</v>
      </c>
    </row>
    <row r="150" spans="1:14" ht="262.5" x14ac:dyDescent="0.35">
      <c r="A150" s="16"/>
      <c r="B150" s="25"/>
      <c r="C150" s="26"/>
      <c r="D150" s="16"/>
      <c r="E150" s="25"/>
      <c r="F150" s="19"/>
      <c r="G150" s="19"/>
      <c r="H150" s="16"/>
      <c r="I150" s="19"/>
      <c r="J150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0" s="33" t="str">
        <f t="shared" si="7"/>
        <v>x</v>
      </c>
      <c r="L150" s="7">
        <v>3268929</v>
      </c>
      <c r="M150" s="8" t="s">
        <v>184</v>
      </c>
      <c r="N150" s="9" t="s">
        <v>347</v>
      </c>
    </row>
    <row r="151" spans="1:14" ht="262.5" x14ac:dyDescent="0.35">
      <c r="A151" s="16"/>
      <c r="B151" s="25"/>
      <c r="C151" s="26"/>
      <c r="D151" s="16"/>
      <c r="E151" s="25"/>
      <c r="F151" s="19"/>
      <c r="G151" s="19"/>
      <c r="H151" s="16"/>
      <c r="I151" s="19"/>
      <c r="J151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1" s="33" t="str">
        <f t="shared" si="7"/>
        <v>x</v>
      </c>
      <c r="L151" s="7">
        <v>460453</v>
      </c>
      <c r="M151" s="8" t="s">
        <v>185</v>
      </c>
      <c r="N151" s="9" t="s">
        <v>347</v>
      </c>
    </row>
    <row r="152" spans="1:14" ht="262.5" x14ac:dyDescent="0.35">
      <c r="A152" s="16"/>
      <c r="B152" s="25"/>
      <c r="C152" s="26"/>
      <c r="D152" s="16"/>
      <c r="E152" s="25"/>
      <c r="F152" s="19"/>
      <c r="G152" s="19"/>
      <c r="H152" s="16"/>
      <c r="I152" s="19"/>
      <c r="J152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2" s="33" t="str">
        <f t="shared" si="7"/>
        <v>x</v>
      </c>
      <c r="L152" s="7">
        <v>459969</v>
      </c>
      <c r="M152" s="8" t="s">
        <v>186</v>
      </c>
      <c r="N152" s="9" t="s">
        <v>347</v>
      </c>
    </row>
    <row r="153" spans="1:14" ht="262.5" x14ac:dyDescent="0.35">
      <c r="A153" s="16"/>
      <c r="B153" s="25"/>
      <c r="C153" s="26"/>
      <c r="D153" s="16"/>
      <c r="E153" s="25"/>
      <c r="F153" s="19"/>
      <c r="G153" s="19"/>
      <c r="H153" s="16"/>
      <c r="I153" s="19"/>
      <c r="J153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3" s="33" t="str">
        <f t="shared" si="7"/>
        <v>x</v>
      </c>
      <c r="L153" s="7">
        <v>547665</v>
      </c>
      <c r="M153" s="8" t="s">
        <v>187</v>
      </c>
      <c r="N153" s="9" t="s">
        <v>347</v>
      </c>
    </row>
    <row r="154" spans="1:14" ht="262.5" x14ac:dyDescent="0.35">
      <c r="A154" s="16"/>
      <c r="B154" s="25"/>
      <c r="C154" s="26"/>
      <c r="D154" s="16"/>
      <c r="E154" s="25"/>
      <c r="F154" s="19"/>
      <c r="G154" s="19"/>
      <c r="H154" s="16"/>
      <c r="I154" s="19"/>
      <c r="J154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4" s="33" t="str">
        <f t="shared" si="7"/>
        <v>x</v>
      </c>
      <c r="L154" s="7">
        <v>704716</v>
      </c>
      <c r="M154" s="8" t="s">
        <v>188</v>
      </c>
      <c r="N154" s="9" t="s">
        <v>347</v>
      </c>
    </row>
    <row r="155" spans="1:14" ht="262.5" x14ac:dyDescent="0.35">
      <c r="A155" s="16"/>
      <c r="B155" s="25"/>
      <c r="C155" s="26"/>
      <c r="D155" s="16"/>
      <c r="E155" s="25"/>
      <c r="F155" s="19"/>
      <c r="G155" s="19"/>
      <c r="H155" s="16"/>
      <c r="I155" s="19"/>
      <c r="J155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5" s="33" t="str">
        <f t="shared" si="7"/>
        <v/>
      </c>
      <c r="L155" s="7"/>
      <c r="M155" s="8"/>
      <c r="N155" s="9"/>
    </row>
    <row r="156" spans="1:14" ht="262.5" x14ac:dyDescent="0.35">
      <c r="A156" s="16"/>
      <c r="B156" s="25"/>
      <c r="C156" s="26"/>
      <c r="D156" s="16"/>
      <c r="E156" s="25"/>
      <c r="F156" s="19"/>
      <c r="G156" s="19"/>
      <c r="H156" s="16"/>
      <c r="I156" s="19"/>
      <c r="J156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6" s="33" t="str">
        <f t="shared" si="7"/>
        <v/>
      </c>
      <c r="L156" s="7"/>
      <c r="M156" s="8"/>
      <c r="N156" s="9"/>
    </row>
    <row r="157" spans="1:14" ht="262.5" x14ac:dyDescent="0.35">
      <c r="A157" s="16"/>
      <c r="B157" s="25"/>
      <c r="C157" s="26"/>
      <c r="D157" s="16"/>
      <c r="E157" s="25"/>
      <c r="F157" s="19"/>
      <c r="G157" s="19"/>
      <c r="H157" s="16"/>
      <c r="I157" s="19"/>
      <c r="J157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7" s="33" t="str">
        <f t="shared" si="7"/>
        <v/>
      </c>
      <c r="L157" s="7"/>
      <c r="M157" s="8"/>
      <c r="N157" s="9"/>
    </row>
    <row r="158" spans="1:14" ht="262.5" x14ac:dyDescent="0.35">
      <c r="A158" s="16"/>
      <c r="B158" s="25"/>
      <c r="C158" s="26"/>
      <c r="D158" s="16"/>
      <c r="E158" s="25"/>
      <c r="F158" s="19"/>
      <c r="G158" s="19"/>
      <c r="H158" s="16"/>
      <c r="I158" s="19"/>
      <c r="J158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8" s="33" t="str">
        <f t="shared" si="7"/>
        <v/>
      </c>
      <c r="L158" s="7"/>
      <c r="M158" s="8"/>
      <c r="N158" s="9"/>
    </row>
    <row r="159" spans="1:14" ht="262.5" x14ac:dyDescent="0.35">
      <c r="A159" s="16"/>
      <c r="B159" s="25"/>
      <c r="C159" s="26"/>
      <c r="D159" s="16"/>
      <c r="E159" s="25"/>
      <c r="F159" s="19"/>
      <c r="G159" s="19"/>
      <c r="H159" s="16"/>
      <c r="I159" s="19"/>
      <c r="J159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59" s="33" t="str">
        <f t="shared" si="7"/>
        <v/>
      </c>
      <c r="L159" s="7"/>
      <c r="M159" s="8"/>
      <c r="N159" s="9"/>
    </row>
    <row r="160" spans="1:14" ht="262.5" x14ac:dyDescent="0.35">
      <c r="A160" s="16"/>
      <c r="B160" s="25"/>
      <c r="C160" s="26"/>
      <c r="D160" s="16"/>
      <c r="E160" s="25"/>
      <c r="F160" s="19"/>
      <c r="G160" s="19"/>
      <c r="H160" s="16"/>
      <c r="I160" s="19"/>
      <c r="J160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60" s="33" t="str">
        <f t="shared" si="7"/>
        <v/>
      </c>
      <c r="L160" s="7"/>
      <c r="M160" s="8"/>
      <c r="N160" s="9"/>
    </row>
    <row r="161" spans="1:14" ht="14.5" customHeight="1" x14ac:dyDescent="0.35">
      <c r="A161" s="20" t="s">
        <v>153</v>
      </c>
      <c r="B161" s="21" t="s">
        <v>344</v>
      </c>
      <c r="C161" s="22" t="s">
        <v>26</v>
      </c>
      <c r="D161" s="20"/>
      <c r="E161" s="21" t="s">
        <v>345</v>
      </c>
      <c r="F161" s="23" t="s">
        <v>346</v>
      </c>
      <c r="G161" s="23"/>
      <c r="H161" s="16" t="s">
        <v>17</v>
      </c>
      <c r="I161" s="19" t="s">
        <v>18</v>
      </c>
      <c r="J161" s="33" t="str">
        <f t="shared" si="6"/>
        <v>-030-039-044-051-082-084-090-093-095-096-097-098-171-180-250-283-322-325-328-330-356-384-409-415-420-444-514-580-4027-4029-</v>
      </c>
      <c r="K161" s="33" t="str">
        <f t="shared" si="7"/>
        <v>x</v>
      </c>
      <c r="L161" s="7">
        <v>1696433</v>
      </c>
      <c r="M161" s="8" t="s">
        <v>189</v>
      </c>
      <c r="N161" s="9" t="s">
        <v>347</v>
      </c>
    </row>
    <row r="162" spans="1:14" ht="125" x14ac:dyDescent="0.35">
      <c r="A162" s="20"/>
      <c r="B162" s="21"/>
      <c r="C162" s="22"/>
      <c r="D162" s="20"/>
      <c r="E162" s="21"/>
      <c r="F162" s="24"/>
      <c r="G162" s="24"/>
      <c r="H162" s="16"/>
      <c r="I162" s="19"/>
      <c r="J162" s="33" t="str">
        <f t="shared" si="6"/>
        <v>-030-039-044-051-082-084-090-093-095-096-097-098-171-180-250-283-322-325-328-330-356-384-409-415-420-444-514-580-4027-4029-</v>
      </c>
      <c r="K162" s="33" t="str">
        <f t="shared" si="7"/>
        <v>x</v>
      </c>
      <c r="L162" s="7">
        <v>3678287</v>
      </c>
      <c r="M162" s="8" t="s">
        <v>190</v>
      </c>
      <c r="N162" s="9" t="s">
        <v>347</v>
      </c>
    </row>
    <row r="163" spans="1:14" ht="125" x14ac:dyDescent="0.35">
      <c r="A163" s="20"/>
      <c r="B163" s="21"/>
      <c r="C163" s="22"/>
      <c r="D163" s="20"/>
      <c r="E163" s="21"/>
      <c r="F163" s="24"/>
      <c r="G163" s="24"/>
      <c r="H163" s="16"/>
      <c r="I163" s="19"/>
      <c r="J163" s="33" t="str">
        <f t="shared" si="6"/>
        <v>-030-039-044-051-082-084-090-093-095-096-097-098-171-180-250-283-322-325-328-330-356-384-409-415-420-444-514-580-4027-4029-</v>
      </c>
      <c r="K163" s="33" t="str">
        <f t="shared" si="7"/>
        <v>x</v>
      </c>
      <c r="L163" s="7">
        <v>823196</v>
      </c>
      <c r="M163" s="8" t="s">
        <v>191</v>
      </c>
      <c r="N163" s="9" t="s">
        <v>347</v>
      </c>
    </row>
    <row r="164" spans="1:14" ht="125" x14ac:dyDescent="0.35">
      <c r="A164" s="20"/>
      <c r="B164" s="21"/>
      <c r="C164" s="22"/>
      <c r="D164" s="20"/>
      <c r="E164" s="21"/>
      <c r="F164" s="24"/>
      <c r="G164" s="24"/>
      <c r="H164" s="16"/>
      <c r="I164" s="19"/>
      <c r="J164" s="33" t="str">
        <f t="shared" si="6"/>
        <v>-030-039-044-051-082-084-090-093-095-096-097-098-171-180-250-283-322-325-328-330-356-384-409-415-420-444-514-580-4027-4029-</v>
      </c>
      <c r="K164" s="33" t="str">
        <f t="shared" si="7"/>
        <v>x</v>
      </c>
      <c r="L164" s="7">
        <v>3295938</v>
      </c>
      <c r="M164" s="8" t="s">
        <v>192</v>
      </c>
      <c r="N164" s="9" t="s">
        <v>347</v>
      </c>
    </row>
    <row r="165" spans="1:14" ht="125" x14ac:dyDescent="0.35">
      <c r="A165" s="20"/>
      <c r="B165" s="21"/>
      <c r="C165" s="22"/>
      <c r="D165" s="20"/>
      <c r="E165" s="21"/>
      <c r="F165" s="24"/>
      <c r="G165" s="24"/>
      <c r="H165" s="16"/>
      <c r="I165" s="19"/>
      <c r="J165" s="33" t="str">
        <f t="shared" si="6"/>
        <v>-030-039-044-051-082-084-090-093-095-096-097-098-171-180-250-283-322-325-328-330-356-384-409-415-420-444-514-580-4027-4029-</v>
      </c>
      <c r="K165" s="33" t="str">
        <f t="shared" si="7"/>
        <v>x</v>
      </c>
      <c r="L165" s="7">
        <v>1128330</v>
      </c>
      <c r="M165" s="8" t="s">
        <v>193</v>
      </c>
      <c r="N165" s="9" t="s">
        <v>347</v>
      </c>
    </row>
    <row r="166" spans="1:14" ht="125" x14ac:dyDescent="0.35">
      <c r="A166" s="20"/>
      <c r="B166" s="21"/>
      <c r="C166" s="22"/>
      <c r="D166" s="20"/>
      <c r="E166" s="21"/>
      <c r="F166" s="24"/>
      <c r="G166" s="24"/>
      <c r="H166" s="16"/>
      <c r="I166" s="19"/>
      <c r="J166" s="33" t="str">
        <f t="shared" si="6"/>
        <v>-030-039-044-051-082-084-090-093-095-096-097-098-171-180-250-283-322-325-328-330-356-384-409-415-420-444-514-580-4027-4029-</v>
      </c>
      <c r="K166" s="33" t="str">
        <f t="shared" si="7"/>
        <v>x</v>
      </c>
      <c r="L166" s="7">
        <v>3393898</v>
      </c>
      <c r="M166" s="8" t="s">
        <v>27</v>
      </c>
      <c r="N166" s="9" t="s">
        <v>347</v>
      </c>
    </row>
    <row r="167" spans="1:14" ht="125" x14ac:dyDescent="0.35">
      <c r="A167" s="20"/>
      <c r="B167" s="21"/>
      <c r="C167" s="22"/>
      <c r="D167" s="20"/>
      <c r="E167" s="21"/>
      <c r="F167" s="24"/>
      <c r="G167" s="24"/>
      <c r="H167" s="16"/>
      <c r="I167" s="19"/>
      <c r="J167" s="33" t="str">
        <f t="shared" si="6"/>
        <v>-030-039-044-051-082-084-090-093-095-096-097-098-171-180-250-283-322-325-328-330-356-384-409-415-420-444-514-580-4027-4029-</v>
      </c>
      <c r="K167" s="33" t="str">
        <f t="shared" si="7"/>
        <v>x</v>
      </c>
      <c r="L167" s="7">
        <v>1344808</v>
      </c>
      <c r="M167" s="8" t="s">
        <v>28</v>
      </c>
      <c r="N167" s="9" t="s">
        <v>347</v>
      </c>
    </row>
    <row r="168" spans="1:14" ht="125" x14ac:dyDescent="0.35">
      <c r="A168" s="20"/>
      <c r="B168" s="21"/>
      <c r="C168" s="22"/>
      <c r="D168" s="20"/>
      <c r="E168" s="21"/>
      <c r="F168" s="24"/>
      <c r="G168" s="24"/>
      <c r="H168" s="16"/>
      <c r="I168" s="19"/>
      <c r="J168" s="33" t="str">
        <f t="shared" si="6"/>
        <v>-030-039-044-051-082-084-090-093-095-096-097-098-171-180-250-283-322-325-328-330-356-384-409-415-420-444-514-580-4027-4029-</v>
      </c>
      <c r="K168" s="33" t="str">
        <f t="shared" si="7"/>
        <v/>
      </c>
      <c r="L168" s="7"/>
      <c r="M168" s="8"/>
      <c r="N168" s="9"/>
    </row>
    <row r="169" spans="1:14" ht="125" x14ac:dyDescent="0.35">
      <c r="A169" s="20"/>
      <c r="B169" s="21"/>
      <c r="C169" s="22"/>
      <c r="D169" s="20"/>
      <c r="E169" s="21"/>
      <c r="F169" s="24"/>
      <c r="G169" s="24"/>
      <c r="H169" s="16"/>
      <c r="I169" s="19"/>
      <c r="J169" s="33" t="str">
        <f t="shared" si="6"/>
        <v>-030-039-044-051-082-084-090-093-095-096-097-098-171-180-250-283-322-325-328-330-356-384-409-415-420-444-514-580-4027-4029-</v>
      </c>
      <c r="K169" s="33" t="str">
        <f t="shared" si="7"/>
        <v/>
      </c>
      <c r="L169" s="7"/>
      <c r="M169" s="8"/>
      <c r="N169" s="9"/>
    </row>
    <row r="170" spans="1:14" ht="14.5" customHeight="1" x14ac:dyDescent="0.35">
      <c r="A170" s="20" t="s">
        <v>153</v>
      </c>
      <c r="B170" s="22" t="s">
        <v>344</v>
      </c>
      <c r="C170" s="22" t="s">
        <v>26</v>
      </c>
      <c r="D170" s="20"/>
      <c r="E170" s="20" t="s">
        <v>345</v>
      </c>
      <c r="F170" s="23" t="s">
        <v>346</v>
      </c>
      <c r="G170" s="23"/>
      <c r="H170" s="16" t="s">
        <v>69</v>
      </c>
      <c r="I170" s="28" t="s">
        <v>12</v>
      </c>
      <c r="J170" s="33" t="str">
        <f t="shared" si="6"/>
        <v>-030-039-044-046-053-067-084-090-095-097-098-135-250-258-281-320-322-328-358-383-415-422-502-554-578-650-</v>
      </c>
      <c r="K170" s="33" t="str">
        <f t="shared" si="7"/>
        <v>x</v>
      </c>
      <c r="L170" s="7">
        <v>1696433</v>
      </c>
      <c r="M170" s="8" t="s">
        <v>189</v>
      </c>
      <c r="N170" s="9" t="s">
        <v>347</v>
      </c>
    </row>
    <row r="171" spans="1:14" ht="14.5" customHeight="1" x14ac:dyDescent="0.35">
      <c r="A171" s="20"/>
      <c r="B171" s="22"/>
      <c r="C171" s="22"/>
      <c r="D171" s="20"/>
      <c r="E171" s="20"/>
      <c r="F171" s="24"/>
      <c r="G171" s="24"/>
      <c r="H171" s="16"/>
      <c r="I171" s="28"/>
      <c r="J171" s="33" t="str">
        <f t="shared" si="6"/>
        <v>-030-039-044-046-053-067-084-090-095-097-098-135-250-258-281-320-322-328-358-383-415-422-502-554-578-650-</v>
      </c>
      <c r="K171" s="33" t="str">
        <f t="shared" si="7"/>
        <v>x</v>
      </c>
      <c r="L171" s="7">
        <v>3678287</v>
      </c>
      <c r="M171" s="8" t="s">
        <v>190</v>
      </c>
      <c r="N171" s="9" t="s">
        <v>347</v>
      </c>
    </row>
    <row r="172" spans="1:14" ht="14.5" customHeight="1" x14ac:dyDescent="0.35">
      <c r="A172" s="20"/>
      <c r="B172" s="22"/>
      <c r="C172" s="22"/>
      <c r="D172" s="20"/>
      <c r="E172" s="20"/>
      <c r="F172" s="24"/>
      <c r="G172" s="24"/>
      <c r="H172" s="16"/>
      <c r="I172" s="28"/>
      <c r="J172" s="33" t="str">
        <f t="shared" si="6"/>
        <v>-030-039-044-046-053-067-084-090-095-097-098-135-250-258-281-320-322-328-358-383-415-422-502-554-578-650-</v>
      </c>
      <c r="K172" s="33" t="str">
        <f t="shared" si="7"/>
        <v>x</v>
      </c>
      <c r="L172" s="7">
        <v>823196</v>
      </c>
      <c r="M172" s="8" t="s">
        <v>191</v>
      </c>
      <c r="N172" s="9" t="s">
        <v>347</v>
      </c>
    </row>
    <row r="173" spans="1:14" ht="112.5" x14ac:dyDescent="0.35">
      <c r="A173" s="20"/>
      <c r="B173" s="22"/>
      <c r="C173" s="22"/>
      <c r="D173" s="20"/>
      <c r="E173" s="20"/>
      <c r="F173" s="24"/>
      <c r="G173" s="24"/>
      <c r="H173" s="16"/>
      <c r="I173" s="28"/>
      <c r="J173" s="33" t="str">
        <f t="shared" si="6"/>
        <v>-030-039-044-046-053-067-084-090-095-097-098-135-250-258-281-320-322-328-358-383-415-422-502-554-578-650-</v>
      </c>
      <c r="K173" s="33" t="str">
        <f t="shared" si="7"/>
        <v>x</v>
      </c>
      <c r="L173" s="7">
        <v>3295938</v>
      </c>
      <c r="M173" s="8" t="s">
        <v>192</v>
      </c>
      <c r="N173" s="9" t="s">
        <v>347</v>
      </c>
    </row>
    <row r="174" spans="1:14" ht="112.5" x14ac:dyDescent="0.35">
      <c r="A174" s="20"/>
      <c r="B174" s="22"/>
      <c r="C174" s="22"/>
      <c r="D174" s="20"/>
      <c r="E174" s="20"/>
      <c r="F174" s="24"/>
      <c r="G174" s="24"/>
      <c r="H174" s="16"/>
      <c r="I174" s="28"/>
      <c r="J174" s="33" t="str">
        <f t="shared" si="6"/>
        <v>-030-039-044-046-053-067-084-090-095-097-098-135-250-258-281-320-322-328-358-383-415-422-502-554-578-650-</v>
      </c>
      <c r="K174" s="33" t="str">
        <f t="shared" si="7"/>
        <v>x</v>
      </c>
      <c r="L174" s="7">
        <v>1128330</v>
      </c>
      <c r="M174" s="8" t="s">
        <v>193</v>
      </c>
      <c r="N174" s="9" t="s">
        <v>347</v>
      </c>
    </row>
    <row r="175" spans="1:14" ht="112.5" x14ac:dyDescent="0.35">
      <c r="A175" s="20"/>
      <c r="B175" s="22"/>
      <c r="C175" s="22"/>
      <c r="D175" s="20"/>
      <c r="E175" s="20"/>
      <c r="F175" s="24"/>
      <c r="G175" s="24"/>
      <c r="H175" s="16"/>
      <c r="I175" s="28"/>
      <c r="J175" s="33" t="str">
        <f t="shared" si="6"/>
        <v>-030-039-044-046-053-067-084-090-095-097-098-135-250-258-281-320-322-328-358-383-415-422-502-554-578-650-</v>
      </c>
      <c r="K175" s="33" t="str">
        <f t="shared" si="7"/>
        <v>x</v>
      </c>
      <c r="L175" s="7">
        <v>415753</v>
      </c>
      <c r="M175" s="8" t="s">
        <v>194</v>
      </c>
      <c r="N175" s="9" t="s">
        <v>347</v>
      </c>
    </row>
    <row r="176" spans="1:14" ht="112.5" x14ac:dyDescent="0.35">
      <c r="A176" s="20"/>
      <c r="B176" s="22"/>
      <c r="C176" s="22"/>
      <c r="D176" s="20"/>
      <c r="E176" s="20"/>
      <c r="F176" s="24"/>
      <c r="G176" s="24"/>
      <c r="H176" s="16"/>
      <c r="I176" s="28"/>
      <c r="J176" s="33" t="str">
        <f t="shared" si="6"/>
        <v>-030-039-044-046-053-067-084-090-095-097-098-135-250-258-281-320-322-328-358-383-415-422-502-554-578-650-</v>
      </c>
      <c r="K176" s="33" t="str">
        <f t="shared" si="7"/>
        <v>x</v>
      </c>
      <c r="L176" s="7">
        <v>1786756</v>
      </c>
      <c r="M176" s="8" t="s">
        <v>195</v>
      </c>
      <c r="N176" s="9" t="s">
        <v>347</v>
      </c>
    </row>
    <row r="177" spans="1:14" ht="112.5" x14ac:dyDescent="0.35">
      <c r="A177" s="20"/>
      <c r="B177" s="22"/>
      <c r="C177" s="22"/>
      <c r="D177" s="20"/>
      <c r="E177" s="20"/>
      <c r="F177" s="24"/>
      <c r="G177" s="24"/>
      <c r="H177" s="16"/>
      <c r="I177" s="28"/>
      <c r="J177" s="33" t="str">
        <f t="shared" si="6"/>
        <v>-030-039-044-046-053-067-084-090-095-097-098-135-250-258-281-320-322-328-358-383-415-422-502-554-578-650-</v>
      </c>
      <c r="K177" s="33" t="str">
        <f t="shared" si="7"/>
        <v>x</v>
      </c>
      <c r="L177" s="7">
        <v>736834</v>
      </c>
      <c r="M177" s="8" t="s">
        <v>196</v>
      </c>
      <c r="N177" s="9" t="s">
        <v>347</v>
      </c>
    </row>
    <row r="178" spans="1:14" ht="112.5" x14ac:dyDescent="0.35">
      <c r="A178" s="20"/>
      <c r="B178" s="22"/>
      <c r="C178" s="22"/>
      <c r="D178" s="20"/>
      <c r="E178" s="20"/>
      <c r="F178" s="24"/>
      <c r="G178" s="24"/>
      <c r="H178" s="16"/>
      <c r="I178" s="28"/>
      <c r="J178" s="33" t="str">
        <f t="shared" si="6"/>
        <v>-030-039-044-046-053-067-084-090-095-097-098-135-250-258-281-320-322-328-358-383-415-422-502-554-578-650-</v>
      </c>
      <c r="K178" s="33" t="str">
        <f t="shared" si="7"/>
        <v>x</v>
      </c>
      <c r="L178" s="7">
        <v>3393898</v>
      </c>
      <c r="M178" s="8" t="s">
        <v>27</v>
      </c>
      <c r="N178" s="9" t="s">
        <v>347</v>
      </c>
    </row>
    <row r="179" spans="1:14" ht="112.5" x14ac:dyDescent="0.35">
      <c r="A179" s="20"/>
      <c r="B179" s="22"/>
      <c r="C179" s="22"/>
      <c r="D179" s="20"/>
      <c r="E179" s="20"/>
      <c r="F179" s="24"/>
      <c r="G179" s="24"/>
      <c r="H179" s="16"/>
      <c r="I179" s="28"/>
      <c r="J179" s="33" t="str">
        <f t="shared" si="6"/>
        <v>-030-039-044-046-053-067-084-090-095-097-098-135-250-258-281-320-322-328-358-383-415-422-502-554-578-650-</v>
      </c>
      <c r="K179" s="33" t="str">
        <f t="shared" si="7"/>
        <v>x</v>
      </c>
      <c r="L179" s="7">
        <v>1344808</v>
      </c>
      <c r="M179" s="8" t="s">
        <v>28</v>
      </c>
      <c r="N179" s="9" t="s">
        <v>347</v>
      </c>
    </row>
    <row r="180" spans="1:14" ht="112.5" x14ac:dyDescent="0.35">
      <c r="A180" s="20"/>
      <c r="B180" s="22"/>
      <c r="C180" s="22"/>
      <c r="D180" s="20"/>
      <c r="E180" s="20"/>
      <c r="F180" s="24"/>
      <c r="G180" s="24"/>
      <c r="H180" s="16"/>
      <c r="I180" s="28"/>
      <c r="J180" s="33" t="str">
        <f t="shared" si="6"/>
        <v>-030-039-044-046-053-067-084-090-095-097-098-135-250-258-281-320-322-328-358-383-415-422-502-554-578-650-</v>
      </c>
      <c r="K180" s="33" t="str">
        <f t="shared" si="7"/>
        <v>x</v>
      </c>
      <c r="L180" s="7">
        <v>3073834</v>
      </c>
      <c r="M180" s="8" t="s">
        <v>197</v>
      </c>
      <c r="N180" s="9" t="s">
        <v>347</v>
      </c>
    </row>
    <row r="181" spans="1:14" ht="112.5" x14ac:dyDescent="0.35">
      <c r="A181" s="20"/>
      <c r="B181" s="22"/>
      <c r="C181" s="22"/>
      <c r="D181" s="20"/>
      <c r="E181" s="20"/>
      <c r="F181" s="24"/>
      <c r="G181" s="24"/>
      <c r="H181" s="16"/>
      <c r="I181" s="28"/>
      <c r="J181" s="33" t="str">
        <f t="shared" si="6"/>
        <v>-030-039-044-046-053-067-084-090-095-097-098-135-250-258-281-320-322-328-358-383-415-422-502-554-578-650-</v>
      </c>
      <c r="K181" s="33" t="str">
        <f t="shared" si="7"/>
        <v>x</v>
      </c>
      <c r="L181" s="7">
        <v>596962</v>
      </c>
      <c r="M181" s="8" t="s">
        <v>198</v>
      </c>
      <c r="N181" s="9" t="s">
        <v>347</v>
      </c>
    </row>
    <row r="182" spans="1:14" ht="112.5" x14ac:dyDescent="0.35">
      <c r="A182" s="20"/>
      <c r="B182" s="22"/>
      <c r="C182" s="22"/>
      <c r="D182" s="20"/>
      <c r="E182" s="20"/>
      <c r="F182" s="24"/>
      <c r="G182" s="24"/>
      <c r="H182" s="16"/>
      <c r="I182" s="28"/>
      <c r="J182" s="33" t="str">
        <f t="shared" si="6"/>
        <v>-030-039-044-046-053-067-084-090-095-097-098-135-250-258-281-320-322-328-358-383-415-422-502-554-578-650-</v>
      </c>
      <c r="K182" s="33" t="str">
        <f t="shared" si="7"/>
        <v/>
      </c>
      <c r="L182" s="7"/>
      <c r="M182" s="8"/>
      <c r="N182" s="9"/>
    </row>
    <row r="183" spans="1:14" ht="112.5" x14ac:dyDescent="0.35">
      <c r="A183" s="20"/>
      <c r="B183" s="22"/>
      <c r="C183" s="22"/>
      <c r="D183" s="20"/>
      <c r="E183" s="20"/>
      <c r="F183" s="24"/>
      <c r="G183" s="24"/>
      <c r="H183" s="16"/>
      <c r="I183" s="28"/>
      <c r="J183" s="33" t="str">
        <f t="shared" si="6"/>
        <v>-030-039-044-046-053-067-084-090-095-097-098-135-250-258-281-320-322-328-358-383-415-422-502-554-578-650-</v>
      </c>
      <c r="K183" s="33" t="str">
        <f t="shared" si="7"/>
        <v/>
      </c>
      <c r="L183" s="7"/>
      <c r="M183" s="8"/>
      <c r="N183" s="9"/>
    </row>
    <row r="184" spans="1:14" ht="112.5" x14ac:dyDescent="0.35">
      <c r="A184" s="20"/>
      <c r="B184" s="22"/>
      <c r="C184" s="22"/>
      <c r="D184" s="20"/>
      <c r="E184" s="20"/>
      <c r="F184" s="24"/>
      <c r="G184" s="24"/>
      <c r="H184" s="16"/>
      <c r="I184" s="28"/>
      <c r="J184" s="33" t="str">
        <f t="shared" si="6"/>
        <v>-030-039-044-046-053-067-084-090-095-097-098-135-250-258-281-320-322-328-358-383-415-422-502-554-578-650-</v>
      </c>
      <c r="K184" s="33" t="str">
        <f t="shared" si="7"/>
        <v/>
      </c>
      <c r="L184" s="7"/>
      <c r="M184" s="8"/>
      <c r="N184" s="9"/>
    </row>
    <row r="185" spans="1:14" ht="262.5" x14ac:dyDescent="0.35">
      <c r="A185" s="16" t="s">
        <v>42</v>
      </c>
      <c r="B185" s="25" t="s">
        <v>344</v>
      </c>
      <c r="C185" s="26" t="s">
        <v>199</v>
      </c>
      <c r="D185" s="16"/>
      <c r="E185" s="25" t="s">
        <v>345</v>
      </c>
      <c r="F185" s="27" t="s">
        <v>346</v>
      </c>
      <c r="G185" s="27"/>
      <c r="H185" s="16" t="s">
        <v>36</v>
      </c>
      <c r="I185" s="19" t="s">
        <v>37</v>
      </c>
      <c r="J185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5" s="33" t="str">
        <f t="shared" si="7"/>
        <v>x</v>
      </c>
      <c r="L185" s="7">
        <v>618598</v>
      </c>
      <c r="M185" s="8" t="s">
        <v>43</v>
      </c>
      <c r="N185" s="9" t="s">
        <v>358</v>
      </c>
    </row>
    <row r="186" spans="1:14" ht="262.5" x14ac:dyDescent="0.35">
      <c r="A186" s="16"/>
      <c r="B186" s="25"/>
      <c r="C186" s="26"/>
      <c r="D186" s="16"/>
      <c r="E186" s="25"/>
      <c r="F186" s="19"/>
      <c r="G186" s="19"/>
      <c r="H186" s="16"/>
      <c r="I186" s="19"/>
      <c r="J186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6" s="33" t="str">
        <f t="shared" si="7"/>
        <v>x</v>
      </c>
      <c r="L186" s="7">
        <v>1183741</v>
      </c>
      <c r="M186" s="8" t="s">
        <v>45</v>
      </c>
      <c r="N186" s="9" t="s">
        <v>358</v>
      </c>
    </row>
    <row r="187" spans="1:14" ht="262.5" x14ac:dyDescent="0.35">
      <c r="A187" s="16"/>
      <c r="B187" s="25"/>
      <c r="C187" s="26"/>
      <c r="D187" s="16"/>
      <c r="E187" s="25"/>
      <c r="F187" s="19"/>
      <c r="G187" s="19"/>
      <c r="H187" s="16"/>
      <c r="I187" s="19"/>
      <c r="J187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7" s="33" t="str">
        <f t="shared" si="7"/>
        <v>x</v>
      </c>
      <c r="L187" s="7">
        <v>113116</v>
      </c>
      <c r="M187" s="8" t="s">
        <v>48</v>
      </c>
      <c r="N187" s="9" t="s">
        <v>347</v>
      </c>
    </row>
    <row r="188" spans="1:14" ht="262.5" x14ac:dyDescent="0.35">
      <c r="A188" s="16"/>
      <c r="B188" s="25"/>
      <c r="C188" s="26"/>
      <c r="D188" s="16"/>
      <c r="E188" s="25"/>
      <c r="F188" s="19"/>
      <c r="G188" s="19"/>
      <c r="H188" s="16"/>
      <c r="I188" s="19"/>
      <c r="J188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8" s="33" t="str">
        <f t="shared" si="7"/>
        <v>x</v>
      </c>
      <c r="L188" s="7">
        <v>553214</v>
      </c>
      <c r="M188" s="8" t="s">
        <v>200</v>
      </c>
      <c r="N188" s="9" t="s">
        <v>358</v>
      </c>
    </row>
    <row r="189" spans="1:14" ht="262.5" x14ac:dyDescent="0.35">
      <c r="A189" s="16"/>
      <c r="B189" s="25"/>
      <c r="C189" s="26"/>
      <c r="D189" s="16"/>
      <c r="E189" s="25"/>
      <c r="F189" s="19"/>
      <c r="G189" s="19"/>
      <c r="H189" s="16"/>
      <c r="I189" s="19"/>
      <c r="J189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89" s="33" t="str">
        <f t="shared" si="7"/>
        <v>x</v>
      </c>
      <c r="L189" s="7">
        <v>619199</v>
      </c>
      <c r="M189" s="8" t="s">
        <v>44</v>
      </c>
      <c r="N189" s="9" t="s">
        <v>358</v>
      </c>
    </row>
    <row r="190" spans="1:14" ht="262.5" x14ac:dyDescent="0.35">
      <c r="A190" s="16"/>
      <c r="B190" s="25"/>
      <c r="C190" s="26"/>
      <c r="D190" s="16"/>
      <c r="E190" s="25"/>
      <c r="F190" s="19"/>
      <c r="G190" s="19"/>
      <c r="H190" s="16"/>
      <c r="I190" s="19"/>
      <c r="J190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0" s="33" t="str">
        <f t="shared" si="7"/>
        <v>x</v>
      </c>
      <c r="L190" s="7">
        <v>619494</v>
      </c>
      <c r="M190" s="8" t="s">
        <v>46</v>
      </c>
      <c r="N190" s="9" t="s">
        <v>358</v>
      </c>
    </row>
    <row r="191" spans="1:14" ht="262.5" x14ac:dyDescent="0.35">
      <c r="A191" s="16"/>
      <c r="B191" s="25"/>
      <c r="C191" s="26"/>
      <c r="D191" s="16"/>
      <c r="E191" s="25"/>
      <c r="F191" s="19"/>
      <c r="G191" s="19"/>
      <c r="H191" s="16"/>
      <c r="I191" s="19"/>
      <c r="J191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1" s="33" t="str">
        <f t="shared" si="7"/>
        <v>x</v>
      </c>
      <c r="L191" s="7">
        <v>553482</v>
      </c>
      <c r="M191" s="8" t="s">
        <v>201</v>
      </c>
      <c r="N191" s="9" t="s">
        <v>358</v>
      </c>
    </row>
    <row r="192" spans="1:14" ht="262.5" x14ac:dyDescent="0.35">
      <c r="A192" s="16"/>
      <c r="B192" s="25"/>
      <c r="C192" s="26"/>
      <c r="D192" s="16"/>
      <c r="E192" s="25"/>
      <c r="F192" s="19"/>
      <c r="G192" s="19"/>
      <c r="H192" s="16"/>
      <c r="I192" s="19"/>
      <c r="J192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2" s="33" t="str">
        <f t="shared" si="7"/>
        <v>x</v>
      </c>
      <c r="L192" s="7">
        <v>353378</v>
      </c>
      <c r="M192" s="8" t="s">
        <v>202</v>
      </c>
      <c r="N192" s="9" t="s">
        <v>358</v>
      </c>
    </row>
    <row r="193" spans="1:14" ht="262.5" x14ac:dyDescent="0.35">
      <c r="A193" s="16"/>
      <c r="B193" s="25"/>
      <c r="C193" s="26"/>
      <c r="D193" s="16"/>
      <c r="E193" s="25"/>
      <c r="F193" s="19"/>
      <c r="G193" s="19"/>
      <c r="H193" s="16"/>
      <c r="I193" s="19"/>
      <c r="J193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3" s="33" t="str">
        <f t="shared" si="7"/>
        <v>x</v>
      </c>
      <c r="L193" s="7">
        <v>391308</v>
      </c>
      <c r="M193" s="8" t="s">
        <v>49</v>
      </c>
      <c r="N193" s="9" t="s">
        <v>347</v>
      </c>
    </row>
    <row r="194" spans="1:14" ht="262.5" x14ac:dyDescent="0.35">
      <c r="A194" s="16"/>
      <c r="B194" s="25"/>
      <c r="C194" s="26"/>
      <c r="D194" s="16"/>
      <c r="E194" s="25"/>
      <c r="F194" s="19"/>
      <c r="G194" s="19"/>
      <c r="H194" s="16"/>
      <c r="I194" s="19"/>
      <c r="J194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4" s="33" t="str">
        <f t="shared" si="7"/>
        <v>x</v>
      </c>
      <c r="L194" s="7">
        <v>5505</v>
      </c>
      <c r="M194" s="8" t="s">
        <v>47</v>
      </c>
      <c r="N194" s="9" t="s">
        <v>358</v>
      </c>
    </row>
    <row r="195" spans="1:14" ht="262.5" x14ac:dyDescent="0.35">
      <c r="A195" s="16"/>
      <c r="B195" s="25"/>
      <c r="C195" s="26"/>
      <c r="D195" s="16"/>
      <c r="E195" s="25"/>
      <c r="F195" s="19"/>
      <c r="G195" s="19"/>
      <c r="H195" s="16"/>
      <c r="I195" s="19"/>
      <c r="J195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5" s="33" t="str">
        <f t="shared" si="7"/>
        <v>x</v>
      </c>
      <c r="L195" s="7">
        <v>354125</v>
      </c>
      <c r="M195" s="8" t="s">
        <v>203</v>
      </c>
      <c r="N195" s="9" t="s">
        <v>358</v>
      </c>
    </row>
    <row r="196" spans="1:14" ht="262.5" x14ac:dyDescent="0.35">
      <c r="A196" s="16"/>
      <c r="B196" s="25"/>
      <c r="C196" s="26"/>
      <c r="D196" s="16"/>
      <c r="E196" s="25"/>
      <c r="F196" s="19"/>
      <c r="G196" s="19"/>
      <c r="H196" s="16"/>
      <c r="I196" s="19"/>
      <c r="J196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6" s="33" t="str">
        <f t="shared" si="7"/>
        <v>x</v>
      </c>
      <c r="L196" s="7">
        <v>702685</v>
      </c>
      <c r="M196" s="8" t="s">
        <v>204</v>
      </c>
      <c r="N196" s="9" t="s">
        <v>358</v>
      </c>
    </row>
    <row r="197" spans="1:14" ht="262.5" x14ac:dyDescent="0.35">
      <c r="A197" s="16"/>
      <c r="B197" s="25"/>
      <c r="C197" s="26"/>
      <c r="D197" s="16"/>
      <c r="E197" s="25"/>
      <c r="F197" s="19"/>
      <c r="G197" s="19"/>
      <c r="H197" s="16"/>
      <c r="I197" s="19"/>
      <c r="J197" s="33" t="str">
        <f t="shared" si="6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7" s="33" t="str">
        <f t="shared" si="7"/>
        <v>x</v>
      </c>
      <c r="L197" s="7">
        <v>809279</v>
      </c>
      <c r="M197" s="8" t="s">
        <v>205</v>
      </c>
      <c r="N197" s="9" t="s">
        <v>358</v>
      </c>
    </row>
    <row r="198" spans="1:14" ht="262.5" x14ac:dyDescent="0.35">
      <c r="A198" s="16"/>
      <c r="B198" s="25"/>
      <c r="C198" s="26"/>
      <c r="D198" s="16"/>
      <c r="E198" s="25"/>
      <c r="F198" s="19"/>
      <c r="G198" s="19"/>
      <c r="H198" s="16"/>
      <c r="I198" s="19"/>
      <c r="J198" s="33" t="str">
        <f t="shared" ref="J198:J261" si="8">IF(I198&lt;&gt;"","-"&amp;I198&amp;"-",J197)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8" s="33" t="str">
        <f t="shared" ref="K198:K261" si="9">IF(L198="","",IF(J198="TODOS ÉXITO A NIVEL NACIONAL-","x",IFERROR(IF(VALUE(IF(L198="","",FIND($AJ$2,J198,1)))&lt;&gt;"","x",""),"")))</f>
        <v>x</v>
      </c>
      <c r="L198" s="7">
        <v>708656</v>
      </c>
      <c r="M198" s="8" t="s">
        <v>50</v>
      </c>
      <c r="N198" s="9" t="s">
        <v>347</v>
      </c>
    </row>
    <row r="199" spans="1:14" ht="262.5" x14ac:dyDescent="0.35">
      <c r="A199" s="16"/>
      <c r="B199" s="25"/>
      <c r="C199" s="26"/>
      <c r="D199" s="16"/>
      <c r="E199" s="25"/>
      <c r="F199" s="19"/>
      <c r="G199" s="19"/>
      <c r="H199" s="16"/>
      <c r="I199" s="19"/>
      <c r="J199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199" s="33" t="str">
        <f t="shared" si="9"/>
        <v/>
      </c>
      <c r="L199" s="7"/>
      <c r="M199" s="8"/>
      <c r="N199" s="9"/>
    </row>
    <row r="200" spans="1:14" ht="262.5" x14ac:dyDescent="0.35">
      <c r="A200" s="16"/>
      <c r="B200" s="25"/>
      <c r="C200" s="26"/>
      <c r="D200" s="16"/>
      <c r="E200" s="25"/>
      <c r="F200" s="19"/>
      <c r="G200" s="19"/>
      <c r="H200" s="16"/>
      <c r="I200" s="19"/>
      <c r="J200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0" s="33" t="str">
        <f t="shared" si="9"/>
        <v/>
      </c>
      <c r="L200" s="7"/>
      <c r="M200" s="8"/>
      <c r="N200" s="9"/>
    </row>
    <row r="201" spans="1:14" ht="262.5" x14ac:dyDescent="0.35">
      <c r="A201" s="16"/>
      <c r="B201" s="25"/>
      <c r="C201" s="26"/>
      <c r="D201" s="16"/>
      <c r="E201" s="25"/>
      <c r="F201" s="19"/>
      <c r="G201" s="19"/>
      <c r="H201" s="16"/>
      <c r="I201" s="19"/>
      <c r="J201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1" s="33" t="str">
        <f t="shared" si="9"/>
        <v/>
      </c>
      <c r="L201" s="7"/>
      <c r="M201" s="8"/>
      <c r="N201" s="9"/>
    </row>
    <row r="202" spans="1:14" ht="262.5" x14ac:dyDescent="0.35">
      <c r="A202" s="16"/>
      <c r="B202" s="25"/>
      <c r="C202" s="26"/>
      <c r="D202" s="16"/>
      <c r="E202" s="25"/>
      <c r="F202" s="19"/>
      <c r="G202" s="19"/>
      <c r="H202" s="16"/>
      <c r="I202" s="19"/>
      <c r="J202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2" s="33" t="str">
        <f t="shared" si="9"/>
        <v/>
      </c>
      <c r="L202" s="7"/>
      <c r="M202" s="8"/>
      <c r="N202" s="9"/>
    </row>
    <row r="203" spans="1:14" ht="262.5" x14ac:dyDescent="0.35">
      <c r="A203" s="16"/>
      <c r="B203" s="25"/>
      <c r="C203" s="26"/>
      <c r="D203" s="16"/>
      <c r="E203" s="25"/>
      <c r="F203" s="19"/>
      <c r="G203" s="19"/>
      <c r="H203" s="16"/>
      <c r="I203" s="19"/>
      <c r="J203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3" s="33" t="str">
        <f t="shared" si="9"/>
        <v/>
      </c>
      <c r="L203" s="7"/>
      <c r="M203" s="8"/>
      <c r="N203" s="9"/>
    </row>
    <row r="204" spans="1:14" ht="262.5" x14ac:dyDescent="0.35">
      <c r="A204" s="16" t="s">
        <v>42</v>
      </c>
      <c r="B204" s="25" t="s">
        <v>344</v>
      </c>
      <c r="C204" s="26" t="s">
        <v>55</v>
      </c>
      <c r="D204" s="16"/>
      <c r="E204" s="25" t="s">
        <v>345</v>
      </c>
      <c r="F204" s="27" t="s">
        <v>346</v>
      </c>
      <c r="G204" s="27"/>
      <c r="H204" s="16" t="s">
        <v>36</v>
      </c>
      <c r="I204" s="19" t="s">
        <v>37</v>
      </c>
      <c r="J204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4" s="33" t="str">
        <f t="shared" si="9"/>
        <v>x</v>
      </c>
      <c r="L204" s="7">
        <v>331772</v>
      </c>
      <c r="M204" s="8" t="s">
        <v>206</v>
      </c>
      <c r="N204" s="9" t="s">
        <v>347</v>
      </c>
    </row>
    <row r="205" spans="1:14" ht="262.5" x14ac:dyDescent="0.35">
      <c r="A205" s="16"/>
      <c r="B205" s="25"/>
      <c r="C205" s="26"/>
      <c r="D205" s="16"/>
      <c r="E205" s="25"/>
      <c r="F205" s="19"/>
      <c r="G205" s="19"/>
      <c r="H205" s="16"/>
      <c r="I205" s="19"/>
      <c r="J205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5" s="33" t="str">
        <f t="shared" si="9"/>
        <v>x</v>
      </c>
      <c r="L205" s="7">
        <v>3407109</v>
      </c>
      <c r="M205" s="8" t="s">
        <v>207</v>
      </c>
      <c r="N205" s="9" t="s">
        <v>347</v>
      </c>
    </row>
    <row r="206" spans="1:14" ht="262.5" x14ac:dyDescent="0.35">
      <c r="A206" s="16"/>
      <c r="B206" s="25"/>
      <c r="C206" s="26"/>
      <c r="D206" s="16"/>
      <c r="E206" s="25"/>
      <c r="F206" s="19"/>
      <c r="G206" s="19"/>
      <c r="H206" s="16"/>
      <c r="I206" s="19"/>
      <c r="J206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6" s="33" t="str">
        <f t="shared" si="9"/>
        <v>x</v>
      </c>
      <c r="L206" s="7">
        <v>1220394</v>
      </c>
      <c r="M206" s="8" t="s">
        <v>208</v>
      </c>
      <c r="N206" s="9" t="s">
        <v>347</v>
      </c>
    </row>
    <row r="207" spans="1:14" ht="262.5" x14ac:dyDescent="0.35">
      <c r="A207" s="16"/>
      <c r="B207" s="25"/>
      <c r="C207" s="26"/>
      <c r="D207" s="16"/>
      <c r="E207" s="25"/>
      <c r="F207" s="19"/>
      <c r="G207" s="19"/>
      <c r="H207" s="16"/>
      <c r="I207" s="19"/>
      <c r="J207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7" s="33" t="str">
        <f t="shared" si="9"/>
        <v>x</v>
      </c>
      <c r="L207" s="7">
        <v>1103336</v>
      </c>
      <c r="M207" s="8" t="s">
        <v>209</v>
      </c>
      <c r="N207" s="9" t="s">
        <v>347</v>
      </c>
    </row>
    <row r="208" spans="1:14" ht="262.5" x14ac:dyDescent="0.35">
      <c r="A208" s="16"/>
      <c r="B208" s="25"/>
      <c r="C208" s="26"/>
      <c r="D208" s="16"/>
      <c r="E208" s="25"/>
      <c r="F208" s="19"/>
      <c r="G208" s="19"/>
      <c r="H208" s="16"/>
      <c r="I208" s="19"/>
      <c r="J208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8" s="33" t="str">
        <f t="shared" si="9"/>
        <v>x</v>
      </c>
      <c r="L208" s="7">
        <v>3012394</v>
      </c>
      <c r="M208" s="8" t="s">
        <v>210</v>
      </c>
      <c r="N208" s="9" t="s">
        <v>347</v>
      </c>
    </row>
    <row r="209" spans="1:14" ht="262.5" x14ac:dyDescent="0.35">
      <c r="A209" s="16"/>
      <c r="B209" s="25"/>
      <c r="C209" s="26"/>
      <c r="D209" s="16"/>
      <c r="E209" s="25"/>
      <c r="F209" s="19"/>
      <c r="G209" s="19"/>
      <c r="H209" s="16"/>
      <c r="I209" s="19"/>
      <c r="J209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09" s="33" t="str">
        <f t="shared" si="9"/>
        <v>x</v>
      </c>
      <c r="L209" s="7">
        <v>3393946</v>
      </c>
      <c r="M209" s="8" t="s">
        <v>211</v>
      </c>
      <c r="N209" s="9" t="s">
        <v>347</v>
      </c>
    </row>
    <row r="210" spans="1:14" ht="262.5" x14ac:dyDescent="0.35">
      <c r="A210" s="16"/>
      <c r="B210" s="25"/>
      <c r="C210" s="26"/>
      <c r="D210" s="16"/>
      <c r="E210" s="25"/>
      <c r="F210" s="19"/>
      <c r="G210" s="19"/>
      <c r="H210" s="16"/>
      <c r="I210" s="19"/>
      <c r="J210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0" s="33" t="str">
        <f t="shared" si="9"/>
        <v>x</v>
      </c>
      <c r="L210" s="7">
        <v>777854</v>
      </c>
      <c r="M210" s="8" t="s">
        <v>212</v>
      </c>
      <c r="N210" s="9" t="s">
        <v>347</v>
      </c>
    </row>
    <row r="211" spans="1:14" ht="262.5" x14ac:dyDescent="0.35">
      <c r="A211" s="16"/>
      <c r="B211" s="25"/>
      <c r="C211" s="26"/>
      <c r="D211" s="16"/>
      <c r="E211" s="25"/>
      <c r="F211" s="19"/>
      <c r="G211" s="19"/>
      <c r="H211" s="16"/>
      <c r="I211" s="19"/>
      <c r="J211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1" s="33" t="str">
        <f t="shared" si="9"/>
        <v>x</v>
      </c>
      <c r="L211" s="7">
        <v>3390206</v>
      </c>
      <c r="M211" s="8" t="s">
        <v>213</v>
      </c>
      <c r="N211" s="9" t="s">
        <v>347</v>
      </c>
    </row>
    <row r="212" spans="1:14" ht="262.5" x14ac:dyDescent="0.35">
      <c r="A212" s="16"/>
      <c r="B212" s="25"/>
      <c r="C212" s="26"/>
      <c r="D212" s="16"/>
      <c r="E212" s="25"/>
      <c r="F212" s="19"/>
      <c r="G212" s="19"/>
      <c r="H212" s="16"/>
      <c r="I212" s="19"/>
      <c r="J212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2" s="33" t="str">
        <f t="shared" si="9"/>
        <v>x</v>
      </c>
      <c r="L212" s="7">
        <v>3393949</v>
      </c>
      <c r="M212" s="8" t="s">
        <v>214</v>
      </c>
      <c r="N212" s="9" t="s">
        <v>347</v>
      </c>
    </row>
    <row r="213" spans="1:14" ht="262.5" x14ac:dyDescent="0.35">
      <c r="A213" s="16"/>
      <c r="B213" s="25"/>
      <c r="C213" s="26"/>
      <c r="D213" s="16"/>
      <c r="E213" s="25"/>
      <c r="F213" s="19"/>
      <c r="G213" s="19"/>
      <c r="H213" s="16"/>
      <c r="I213" s="19"/>
      <c r="J213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3" s="33" t="str">
        <f t="shared" si="9"/>
        <v>x</v>
      </c>
      <c r="L213" s="7">
        <v>851949</v>
      </c>
      <c r="M213" s="8" t="s">
        <v>215</v>
      </c>
      <c r="N213" s="9" t="s">
        <v>347</v>
      </c>
    </row>
    <row r="214" spans="1:14" ht="262.5" x14ac:dyDescent="0.35">
      <c r="A214" s="16"/>
      <c r="B214" s="25"/>
      <c r="C214" s="26"/>
      <c r="D214" s="16"/>
      <c r="E214" s="25"/>
      <c r="F214" s="19"/>
      <c r="G214" s="19"/>
      <c r="H214" s="16"/>
      <c r="I214" s="19"/>
      <c r="J214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4" s="33" t="str">
        <f t="shared" si="9"/>
        <v>x</v>
      </c>
      <c r="L214" s="7">
        <v>3421415</v>
      </c>
      <c r="M214" s="8" t="s">
        <v>216</v>
      </c>
      <c r="N214" s="9" t="s">
        <v>347</v>
      </c>
    </row>
    <row r="215" spans="1:14" ht="262.5" x14ac:dyDescent="0.35">
      <c r="A215" s="16"/>
      <c r="B215" s="25"/>
      <c r="C215" s="26"/>
      <c r="D215" s="16"/>
      <c r="E215" s="25"/>
      <c r="F215" s="19"/>
      <c r="G215" s="19"/>
      <c r="H215" s="16"/>
      <c r="I215" s="19"/>
      <c r="J215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5" s="33" t="str">
        <f t="shared" si="9"/>
        <v>x</v>
      </c>
      <c r="L215" s="7">
        <v>3385359</v>
      </c>
      <c r="M215" s="8" t="s">
        <v>217</v>
      </c>
      <c r="N215" s="9" t="s">
        <v>347</v>
      </c>
    </row>
    <row r="216" spans="1:14" ht="262.5" x14ac:dyDescent="0.35">
      <c r="A216" s="16"/>
      <c r="B216" s="25"/>
      <c r="C216" s="26"/>
      <c r="D216" s="16"/>
      <c r="E216" s="25"/>
      <c r="F216" s="19"/>
      <c r="G216" s="19"/>
      <c r="H216" s="16"/>
      <c r="I216" s="19"/>
      <c r="J216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6" s="33" t="str">
        <f t="shared" si="9"/>
        <v>x</v>
      </c>
      <c r="L216" s="7">
        <v>3489224</v>
      </c>
      <c r="M216" s="8" t="s">
        <v>218</v>
      </c>
      <c r="N216" s="9" t="s">
        <v>347</v>
      </c>
    </row>
    <row r="217" spans="1:14" ht="262.5" x14ac:dyDescent="0.35">
      <c r="A217" s="16"/>
      <c r="B217" s="25"/>
      <c r="C217" s="26"/>
      <c r="D217" s="16"/>
      <c r="E217" s="25"/>
      <c r="F217" s="19"/>
      <c r="G217" s="19"/>
      <c r="H217" s="16"/>
      <c r="I217" s="19"/>
      <c r="J217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7" s="33" t="str">
        <f t="shared" si="9"/>
        <v>x</v>
      </c>
      <c r="L217" s="7">
        <v>3390276</v>
      </c>
      <c r="M217" s="8" t="s">
        <v>219</v>
      </c>
      <c r="N217" s="9" t="s">
        <v>347</v>
      </c>
    </row>
    <row r="218" spans="1:14" ht="262.5" x14ac:dyDescent="0.35">
      <c r="A218" s="16"/>
      <c r="B218" s="25"/>
      <c r="C218" s="26"/>
      <c r="D218" s="16"/>
      <c r="E218" s="25"/>
      <c r="F218" s="19"/>
      <c r="G218" s="19"/>
      <c r="H218" s="16"/>
      <c r="I218" s="19"/>
      <c r="J218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8" s="33" t="str">
        <f t="shared" si="9"/>
        <v>x</v>
      </c>
      <c r="L218" s="7">
        <v>3489225</v>
      </c>
      <c r="M218" s="8" t="s">
        <v>220</v>
      </c>
      <c r="N218" s="9" t="s">
        <v>347</v>
      </c>
    </row>
    <row r="219" spans="1:14" ht="262.5" x14ac:dyDescent="0.35">
      <c r="A219" s="16"/>
      <c r="B219" s="25"/>
      <c r="C219" s="26"/>
      <c r="D219" s="16"/>
      <c r="E219" s="25"/>
      <c r="F219" s="19"/>
      <c r="G219" s="19"/>
      <c r="H219" s="16"/>
      <c r="I219" s="19"/>
      <c r="J219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19" s="33" t="str">
        <f t="shared" si="9"/>
        <v>x</v>
      </c>
      <c r="L219" s="7">
        <v>3689966</v>
      </c>
      <c r="M219" s="8" t="s">
        <v>221</v>
      </c>
      <c r="N219" s="9" t="s">
        <v>347</v>
      </c>
    </row>
    <row r="220" spans="1:14" ht="262.5" x14ac:dyDescent="0.35">
      <c r="A220" s="16"/>
      <c r="B220" s="25"/>
      <c r="C220" s="26"/>
      <c r="D220" s="16"/>
      <c r="E220" s="25"/>
      <c r="F220" s="19"/>
      <c r="G220" s="19"/>
      <c r="H220" s="16"/>
      <c r="I220" s="19"/>
      <c r="J220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20" s="33" t="str">
        <f t="shared" si="9"/>
        <v/>
      </c>
      <c r="L220" s="7"/>
      <c r="M220" s="8"/>
      <c r="N220" s="9"/>
    </row>
    <row r="221" spans="1:14" ht="262.5" x14ac:dyDescent="0.35">
      <c r="A221" s="16"/>
      <c r="B221" s="25"/>
      <c r="C221" s="26"/>
      <c r="D221" s="16"/>
      <c r="E221" s="25"/>
      <c r="F221" s="19"/>
      <c r="G221" s="19"/>
      <c r="H221" s="16"/>
      <c r="I221" s="19"/>
      <c r="J221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21" s="33" t="str">
        <f t="shared" si="9"/>
        <v/>
      </c>
      <c r="L221" s="7"/>
      <c r="M221" s="8"/>
      <c r="N221" s="9"/>
    </row>
    <row r="222" spans="1:14" ht="262.5" x14ac:dyDescent="0.35">
      <c r="A222" s="16"/>
      <c r="B222" s="25"/>
      <c r="C222" s="26"/>
      <c r="D222" s="16"/>
      <c r="E222" s="25"/>
      <c r="F222" s="19"/>
      <c r="G222" s="19"/>
      <c r="H222" s="16"/>
      <c r="I222" s="19"/>
      <c r="J222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22" s="33" t="str">
        <f t="shared" si="9"/>
        <v/>
      </c>
      <c r="L222" s="7"/>
      <c r="M222" s="8"/>
      <c r="N222" s="9"/>
    </row>
    <row r="223" spans="1:14" ht="14.5" customHeight="1" x14ac:dyDescent="0.35">
      <c r="A223" s="20">
        <v>97</v>
      </c>
      <c r="B223" s="22" t="s">
        <v>344</v>
      </c>
      <c r="C223" s="22" t="s">
        <v>30</v>
      </c>
      <c r="D223" s="20"/>
      <c r="E223" s="20" t="s">
        <v>345</v>
      </c>
      <c r="F223" s="23" t="s">
        <v>346</v>
      </c>
      <c r="G223" s="23"/>
      <c r="H223" s="16" t="s">
        <v>69</v>
      </c>
      <c r="I223" s="28" t="s">
        <v>12</v>
      </c>
      <c r="J223" s="33" t="str">
        <f t="shared" si="8"/>
        <v>-030-039-044-046-053-067-084-090-095-097-098-135-250-258-281-320-322-328-358-383-415-422-502-554-578-650-</v>
      </c>
      <c r="K223" s="33" t="str">
        <f t="shared" si="9"/>
        <v>x</v>
      </c>
      <c r="L223" s="7">
        <v>1752876</v>
      </c>
      <c r="M223" s="8" t="s">
        <v>33</v>
      </c>
      <c r="N223" s="9" t="s">
        <v>359</v>
      </c>
    </row>
    <row r="224" spans="1:14" ht="14.5" customHeight="1" x14ac:dyDescent="0.35">
      <c r="A224" s="20"/>
      <c r="B224" s="22"/>
      <c r="C224" s="22"/>
      <c r="D224" s="20"/>
      <c r="E224" s="20"/>
      <c r="F224" s="24"/>
      <c r="G224" s="24"/>
      <c r="H224" s="16"/>
      <c r="I224" s="28"/>
      <c r="J224" s="33" t="str">
        <f t="shared" si="8"/>
        <v>-030-039-044-046-053-067-084-090-095-097-098-135-250-258-281-320-322-328-358-383-415-422-502-554-578-650-</v>
      </c>
      <c r="K224" s="33" t="str">
        <f t="shared" si="9"/>
        <v>x</v>
      </c>
      <c r="L224" s="7">
        <v>3527390</v>
      </c>
      <c r="M224" s="8" t="s">
        <v>31</v>
      </c>
      <c r="N224" s="9" t="s">
        <v>347</v>
      </c>
    </row>
    <row r="225" spans="1:14" ht="14.5" customHeight="1" x14ac:dyDescent="0.35">
      <c r="A225" s="20"/>
      <c r="B225" s="22"/>
      <c r="C225" s="22"/>
      <c r="D225" s="20"/>
      <c r="E225" s="20"/>
      <c r="F225" s="24"/>
      <c r="G225" s="24"/>
      <c r="H225" s="16"/>
      <c r="I225" s="28"/>
      <c r="J225" s="33" t="str">
        <f t="shared" si="8"/>
        <v>-030-039-044-046-053-067-084-090-095-097-098-135-250-258-281-320-322-328-358-383-415-422-502-554-578-650-</v>
      </c>
      <c r="K225" s="33" t="str">
        <f t="shared" si="9"/>
        <v>x</v>
      </c>
      <c r="L225" s="7">
        <v>1037838</v>
      </c>
      <c r="M225" s="8" t="s">
        <v>32</v>
      </c>
      <c r="N225" s="9" t="s">
        <v>347</v>
      </c>
    </row>
    <row r="226" spans="1:14" ht="112.5" x14ac:dyDescent="0.35">
      <c r="A226" s="20"/>
      <c r="B226" s="22"/>
      <c r="C226" s="22"/>
      <c r="D226" s="20"/>
      <c r="E226" s="20"/>
      <c r="F226" s="24"/>
      <c r="G226" s="24"/>
      <c r="H226" s="16"/>
      <c r="I226" s="28"/>
      <c r="J226" s="33" t="str">
        <f t="shared" si="8"/>
        <v>-030-039-044-046-053-067-084-090-095-097-098-135-250-258-281-320-322-328-358-383-415-422-502-554-578-650-</v>
      </c>
      <c r="K226" s="33" t="str">
        <f t="shared" si="9"/>
        <v>x</v>
      </c>
      <c r="L226" s="7">
        <v>1391742</v>
      </c>
      <c r="M226" s="8" t="s">
        <v>232</v>
      </c>
      <c r="N226" s="9" t="s">
        <v>347</v>
      </c>
    </row>
    <row r="227" spans="1:14" ht="112.5" x14ac:dyDescent="0.35">
      <c r="A227" s="20"/>
      <c r="B227" s="22"/>
      <c r="C227" s="22"/>
      <c r="D227" s="20"/>
      <c r="E227" s="20"/>
      <c r="F227" s="24"/>
      <c r="G227" s="24"/>
      <c r="H227" s="16"/>
      <c r="I227" s="28"/>
      <c r="J227" s="33" t="str">
        <f t="shared" si="8"/>
        <v>-030-039-044-046-053-067-084-090-095-097-098-135-250-258-281-320-322-328-358-383-415-422-502-554-578-650-</v>
      </c>
      <c r="K227" s="33" t="str">
        <f t="shared" si="9"/>
        <v>x</v>
      </c>
      <c r="L227" s="7">
        <v>3051020</v>
      </c>
      <c r="M227" s="8" t="s">
        <v>233</v>
      </c>
      <c r="N227" s="9" t="s">
        <v>359</v>
      </c>
    </row>
    <row r="228" spans="1:14" ht="112.5" x14ac:dyDescent="0.35">
      <c r="A228" s="20"/>
      <c r="B228" s="22"/>
      <c r="C228" s="22"/>
      <c r="D228" s="20"/>
      <c r="E228" s="20"/>
      <c r="F228" s="24"/>
      <c r="G228" s="24"/>
      <c r="H228" s="16"/>
      <c r="I228" s="28"/>
      <c r="J228" s="33" t="str">
        <f t="shared" si="8"/>
        <v>-030-039-044-046-053-067-084-090-095-097-098-135-250-258-281-320-322-328-358-383-415-422-502-554-578-650-</v>
      </c>
      <c r="K228" s="33" t="str">
        <f t="shared" si="9"/>
        <v>x</v>
      </c>
      <c r="L228" s="7">
        <v>3615046</v>
      </c>
      <c r="M228" s="8" t="s">
        <v>234</v>
      </c>
      <c r="N228" s="9" t="s">
        <v>347</v>
      </c>
    </row>
    <row r="229" spans="1:14" ht="112.5" x14ac:dyDescent="0.35">
      <c r="A229" s="20"/>
      <c r="B229" s="22"/>
      <c r="C229" s="22"/>
      <c r="D229" s="20"/>
      <c r="E229" s="20"/>
      <c r="F229" s="24"/>
      <c r="G229" s="24"/>
      <c r="H229" s="16"/>
      <c r="I229" s="28"/>
      <c r="J229" s="33" t="str">
        <f t="shared" si="8"/>
        <v>-030-039-044-046-053-067-084-090-095-097-098-135-250-258-281-320-322-328-358-383-415-422-502-554-578-650-</v>
      </c>
      <c r="K229" s="33" t="str">
        <f t="shared" si="9"/>
        <v>x</v>
      </c>
      <c r="L229" s="7">
        <v>3527391</v>
      </c>
      <c r="M229" s="8" t="s">
        <v>235</v>
      </c>
      <c r="N229" s="9" t="s">
        <v>347</v>
      </c>
    </row>
    <row r="230" spans="1:14" ht="112.5" x14ac:dyDescent="0.35">
      <c r="A230" s="20"/>
      <c r="B230" s="22"/>
      <c r="C230" s="22"/>
      <c r="D230" s="20"/>
      <c r="E230" s="20"/>
      <c r="F230" s="24"/>
      <c r="G230" s="24"/>
      <c r="H230" s="16"/>
      <c r="I230" s="28"/>
      <c r="J230" s="33" t="str">
        <f t="shared" si="8"/>
        <v>-030-039-044-046-053-067-084-090-095-097-098-135-250-258-281-320-322-328-358-383-415-422-502-554-578-650-</v>
      </c>
      <c r="K230" s="33" t="str">
        <f t="shared" si="9"/>
        <v>x</v>
      </c>
      <c r="L230" s="7">
        <v>3484838</v>
      </c>
      <c r="M230" s="8" t="s">
        <v>236</v>
      </c>
      <c r="N230" s="9" t="s">
        <v>347</v>
      </c>
    </row>
    <row r="231" spans="1:14" ht="112.5" x14ac:dyDescent="0.35">
      <c r="A231" s="20"/>
      <c r="B231" s="22"/>
      <c r="C231" s="22"/>
      <c r="D231" s="20"/>
      <c r="E231" s="20"/>
      <c r="F231" s="24"/>
      <c r="G231" s="24"/>
      <c r="H231" s="16"/>
      <c r="I231" s="28"/>
      <c r="J231" s="33" t="str">
        <f t="shared" si="8"/>
        <v>-030-039-044-046-053-067-084-090-095-097-098-135-250-258-281-320-322-328-358-383-415-422-502-554-578-650-</v>
      </c>
      <c r="K231" s="33" t="str">
        <f t="shared" si="9"/>
        <v>x</v>
      </c>
      <c r="L231" s="7">
        <v>3315405</v>
      </c>
      <c r="M231" s="8" t="s">
        <v>237</v>
      </c>
      <c r="N231" s="9" t="s">
        <v>347</v>
      </c>
    </row>
    <row r="232" spans="1:14" ht="112.5" x14ac:dyDescent="0.35">
      <c r="A232" s="20"/>
      <c r="B232" s="22"/>
      <c r="C232" s="22"/>
      <c r="D232" s="20"/>
      <c r="E232" s="20"/>
      <c r="F232" s="24"/>
      <c r="G232" s="24"/>
      <c r="H232" s="16"/>
      <c r="I232" s="28"/>
      <c r="J232" s="33" t="str">
        <f t="shared" si="8"/>
        <v>-030-039-044-046-053-067-084-090-095-097-098-135-250-258-281-320-322-328-358-383-415-422-502-554-578-650-</v>
      </c>
      <c r="K232" s="33" t="str">
        <f t="shared" si="9"/>
        <v>x</v>
      </c>
      <c r="L232" s="7">
        <v>1404036</v>
      </c>
      <c r="M232" s="8" t="s">
        <v>238</v>
      </c>
      <c r="N232" s="9" t="s">
        <v>359</v>
      </c>
    </row>
    <row r="233" spans="1:14" ht="112.5" x14ac:dyDescent="0.35">
      <c r="A233" s="20"/>
      <c r="B233" s="22"/>
      <c r="C233" s="22"/>
      <c r="D233" s="20"/>
      <c r="E233" s="20"/>
      <c r="F233" s="24"/>
      <c r="G233" s="24"/>
      <c r="H233" s="16"/>
      <c r="I233" s="28"/>
      <c r="J233" s="33" t="str">
        <f t="shared" si="8"/>
        <v>-030-039-044-046-053-067-084-090-095-097-098-135-250-258-281-320-322-328-358-383-415-422-502-554-578-650-</v>
      </c>
      <c r="K233" s="33" t="str">
        <f t="shared" si="9"/>
        <v/>
      </c>
      <c r="L233" s="7"/>
      <c r="M233" s="8"/>
      <c r="N233" s="9"/>
    </row>
    <row r="234" spans="1:14" ht="112.5" x14ac:dyDescent="0.35">
      <c r="A234" s="20"/>
      <c r="B234" s="22"/>
      <c r="C234" s="22"/>
      <c r="D234" s="20"/>
      <c r="E234" s="20"/>
      <c r="F234" s="24"/>
      <c r="G234" s="24"/>
      <c r="H234" s="16"/>
      <c r="I234" s="28"/>
      <c r="J234" s="33" t="str">
        <f t="shared" si="8"/>
        <v>-030-039-044-046-053-067-084-090-095-097-098-135-250-258-281-320-322-328-358-383-415-422-502-554-578-650-</v>
      </c>
      <c r="K234" s="33" t="str">
        <f t="shared" si="9"/>
        <v/>
      </c>
      <c r="L234" s="7"/>
      <c r="M234" s="8"/>
      <c r="N234" s="9"/>
    </row>
    <row r="235" spans="1:14" ht="112.5" x14ac:dyDescent="0.35">
      <c r="A235" s="20"/>
      <c r="B235" s="22"/>
      <c r="C235" s="22"/>
      <c r="D235" s="20"/>
      <c r="E235" s="20"/>
      <c r="F235" s="24"/>
      <c r="G235" s="24"/>
      <c r="H235" s="16"/>
      <c r="I235" s="28"/>
      <c r="J235" s="33" t="str">
        <f t="shared" si="8"/>
        <v>-030-039-044-046-053-067-084-090-095-097-098-135-250-258-281-320-322-328-358-383-415-422-502-554-578-650-</v>
      </c>
      <c r="K235" s="33" t="str">
        <f t="shared" si="9"/>
        <v/>
      </c>
      <c r="L235" s="7"/>
      <c r="M235" s="8"/>
      <c r="N235" s="9"/>
    </row>
    <row r="236" spans="1:14" ht="112.5" x14ac:dyDescent="0.35">
      <c r="A236" s="20"/>
      <c r="B236" s="22"/>
      <c r="C236" s="22"/>
      <c r="D236" s="20"/>
      <c r="E236" s="20"/>
      <c r="F236" s="24"/>
      <c r="G236" s="24"/>
      <c r="H236" s="16"/>
      <c r="I236" s="28"/>
      <c r="J236" s="33" t="str">
        <f t="shared" si="8"/>
        <v>-030-039-044-046-053-067-084-090-095-097-098-135-250-258-281-320-322-328-358-383-415-422-502-554-578-650-</v>
      </c>
      <c r="K236" s="33" t="str">
        <f t="shared" si="9"/>
        <v/>
      </c>
      <c r="L236" s="7"/>
      <c r="M236" s="8"/>
      <c r="N236" s="9"/>
    </row>
    <row r="237" spans="1:14" ht="112.5" x14ac:dyDescent="0.35">
      <c r="A237" s="20"/>
      <c r="B237" s="22"/>
      <c r="C237" s="22"/>
      <c r="D237" s="20"/>
      <c r="E237" s="20"/>
      <c r="F237" s="24"/>
      <c r="G237" s="24"/>
      <c r="H237" s="16"/>
      <c r="I237" s="28"/>
      <c r="J237" s="33" t="str">
        <f t="shared" si="8"/>
        <v>-030-039-044-046-053-067-084-090-095-097-098-135-250-258-281-320-322-328-358-383-415-422-502-554-578-650-</v>
      </c>
      <c r="K237" s="33" t="str">
        <f t="shared" si="9"/>
        <v/>
      </c>
      <c r="L237" s="7"/>
      <c r="M237" s="8"/>
      <c r="N237" s="9"/>
    </row>
    <row r="238" spans="1:14" ht="262.5" x14ac:dyDescent="0.35">
      <c r="A238" s="16">
        <v>406</v>
      </c>
      <c r="B238" s="25" t="s">
        <v>344</v>
      </c>
      <c r="C238" s="26" t="s">
        <v>30</v>
      </c>
      <c r="D238" s="16"/>
      <c r="E238" s="25" t="s">
        <v>345</v>
      </c>
      <c r="F238" s="27" t="s">
        <v>346</v>
      </c>
      <c r="G238" s="27"/>
      <c r="H238" s="16" t="s">
        <v>36</v>
      </c>
      <c r="I238" s="19" t="s">
        <v>37</v>
      </c>
      <c r="J238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8" s="33" t="str">
        <f t="shared" si="9"/>
        <v>x</v>
      </c>
      <c r="L238" s="7">
        <v>3277055</v>
      </c>
      <c r="M238" s="8" t="s">
        <v>239</v>
      </c>
      <c r="N238" s="9" t="s">
        <v>347</v>
      </c>
    </row>
    <row r="239" spans="1:14" ht="262.5" x14ac:dyDescent="0.35">
      <c r="A239" s="16"/>
      <c r="B239" s="25"/>
      <c r="C239" s="26"/>
      <c r="D239" s="16"/>
      <c r="E239" s="25"/>
      <c r="F239" s="19"/>
      <c r="G239" s="19"/>
      <c r="H239" s="16"/>
      <c r="I239" s="19"/>
      <c r="J239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39" s="33" t="str">
        <f t="shared" si="9"/>
        <v>x</v>
      </c>
      <c r="L239" s="7">
        <v>3726921</v>
      </c>
      <c r="M239" s="8" t="s">
        <v>240</v>
      </c>
      <c r="N239" s="9" t="s">
        <v>347</v>
      </c>
    </row>
    <row r="240" spans="1:14" ht="262.5" x14ac:dyDescent="0.35">
      <c r="A240" s="16"/>
      <c r="B240" s="25"/>
      <c r="C240" s="26"/>
      <c r="D240" s="16"/>
      <c r="E240" s="25"/>
      <c r="F240" s="19"/>
      <c r="G240" s="19"/>
      <c r="H240" s="16"/>
      <c r="I240" s="19"/>
      <c r="J240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0" s="33" t="str">
        <f t="shared" si="9"/>
        <v>x</v>
      </c>
      <c r="L240" s="7">
        <v>3277054</v>
      </c>
      <c r="M240" s="8" t="s">
        <v>241</v>
      </c>
      <c r="N240" s="9" t="s">
        <v>347</v>
      </c>
    </row>
    <row r="241" spans="1:14" ht="262.5" x14ac:dyDescent="0.35">
      <c r="A241" s="16"/>
      <c r="B241" s="25"/>
      <c r="C241" s="26"/>
      <c r="D241" s="16"/>
      <c r="E241" s="25"/>
      <c r="F241" s="19"/>
      <c r="G241" s="19"/>
      <c r="H241" s="16"/>
      <c r="I241" s="19"/>
      <c r="J241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1" s="33" t="str">
        <f t="shared" si="9"/>
        <v>x</v>
      </c>
      <c r="L241" s="7">
        <v>3277056</v>
      </c>
      <c r="M241" s="8" t="s">
        <v>242</v>
      </c>
      <c r="N241" s="9" t="s">
        <v>347</v>
      </c>
    </row>
    <row r="242" spans="1:14" ht="262.5" x14ac:dyDescent="0.35">
      <c r="A242" s="16"/>
      <c r="B242" s="25"/>
      <c r="C242" s="26"/>
      <c r="D242" s="16"/>
      <c r="E242" s="25"/>
      <c r="F242" s="19"/>
      <c r="G242" s="19"/>
      <c r="H242" s="16"/>
      <c r="I242" s="19"/>
      <c r="J242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2" s="33" t="str">
        <f t="shared" si="9"/>
        <v>x</v>
      </c>
      <c r="L242" s="7">
        <v>3345554</v>
      </c>
      <c r="M242" s="8" t="s">
        <v>243</v>
      </c>
      <c r="N242" s="9" t="s">
        <v>347</v>
      </c>
    </row>
    <row r="243" spans="1:14" ht="262.5" x14ac:dyDescent="0.35">
      <c r="A243" s="16"/>
      <c r="B243" s="25"/>
      <c r="C243" s="26"/>
      <c r="D243" s="16"/>
      <c r="E243" s="25"/>
      <c r="F243" s="19"/>
      <c r="G243" s="19"/>
      <c r="H243" s="16"/>
      <c r="I243" s="19"/>
      <c r="J243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3" s="33" t="str">
        <f t="shared" si="9"/>
        <v>x</v>
      </c>
      <c r="L243" s="7">
        <v>3277058</v>
      </c>
      <c r="M243" s="8" t="s">
        <v>244</v>
      </c>
      <c r="N243" s="9" t="s">
        <v>347</v>
      </c>
    </row>
    <row r="244" spans="1:14" ht="262.5" x14ac:dyDescent="0.35">
      <c r="A244" s="16"/>
      <c r="B244" s="25"/>
      <c r="C244" s="26"/>
      <c r="D244" s="16"/>
      <c r="E244" s="25"/>
      <c r="F244" s="19"/>
      <c r="G244" s="19"/>
      <c r="H244" s="16"/>
      <c r="I244" s="19"/>
      <c r="J244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4" s="33" t="str">
        <f t="shared" si="9"/>
        <v/>
      </c>
      <c r="L244" s="7"/>
      <c r="M244" s="8"/>
      <c r="N244" s="9"/>
    </row>
    <row r="245" spans="1:14" ht="262.5" x14ac:dyDescent="0.35">
      <c r="A245" s="16"/>
      <c r="B245" s="25"/>
      <c r="C245" s="26"/>
      <c r="D245" s="16"/>
      <c r="E245" s="25"/>
      <c r="F245" s="19"/>
      <c r="G245" s="19"/>
      <c r="H245" s="16"/>
      <c r="I245" s="19"/>
      <c r="J245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5" s="33" t="str">
        <f t="shared" si="9"/>
        <v/>
      </c>
      <c r="L245" s="7"/>
      <c r="M245" s="8"/>
      <c r="N245" s="9"/>
    </row>
    <row r="246" spans="1:14" ht="262.5" x14ac:dyDescent="0.35">
      <c r="A246" s="16"/>
      <c r="B246" s="25"/>
      <c r="C246" s="26"/>
      <c r="D246" s="16"/>
      <c r="E246" s="25"/>
      <c r="F246" s="19"/>
      <c r="G246" s="19"/>
      <c r="H246" s="16"/>
      <c r="I246" s="19"/>
      <c r="J246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6" s="33" t="str">
        <f t="shared" si="9"/>
        <v/>
      </c>
      <c r="L246" s="7"/>
      <c r="M246" s="8"/>
      <c r="N246" s="9"/>
    </row>
    <row r="247" spans="1:14" ht="262.5" x14ac:dyDescent="0.35">
      <c r="A247" s="16"/>
      <c r="B247" s="25"/>
      <c r="C247" s="26"/>
      <c r="D247" s="16"/>
      <c r="E247" s="25"/>
      <c r="F247" s="19"/>
      <c r="G247" s="19"/>
      <c r="H247" s="16"/>
      <c r="I247" s="19"/>
      <c r="J247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7" s="33" t="str">
        <f t="shared" si="9"/>
        <v/>
      </c>
      <c r="L247" s="7"/>
      <c r="M247" s="8"/>
      <c r="N247" s="9"/>
    </row>
    <row r="248" spans="1:14" ht="262.5" x14ac:dyDescent="0.35">
      <c r="A248" s="16"/>
      <c r="B248" s="25"/>
      <c r="C248" s="26"/>
      <c r="D248" s="16"/>
      <c r="E248" s="25"/>
      <c r="F248" s="19"/>
      <c r="G248" s="19"/>
      <c r="H248" s="16"/>
      <c r="I248" s="19"/>
      <c r="J248" s="33" t="str">
        <f t="shared" si="8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48" s="33" t="str">
        <f t="shared" si="9"/>
        <v/>
      </c>
      <c r="L248" s="7"/>
      <c r="M248" s="8"/>
      <c r="N248" s="9"/>
    </row>
    <row r="249" spans="1:14" ht="14.5" customHeight="1" x14ac:dyDescent="0.35">
      <c r="A249" s="20" t="s">
        <v>253</v>
      </c>
      <c r="B249" s="22" t="s">
        <v>344</v>
      </c>
      <c r="C249" s="22" t="s">
        <v>20</v>
      </c>
      <c r="D249" s="20"/>
      <c r="E249" s="20" t="s">
        <v>345</v>
      </c>
      <c r="F249" s="23" t="s">
        <v>346</v>
      </c>
      <c r="G249" s="23"/>
      <c r="H249" s="16" t="s">
        <v>69</v>
      </c>
      <c r="I249" s="28" t="s">
        <v>12</v>
      </c>
      <c r="J249" s="33" t="str">
        <f t="shared" si="8"/>
        <v>-030-039-044-046-053-067-084-090-095-097-098-135-250-258-281-320-322-328-358-383-415-422-502-554-578-650-</v>
      </c>
      <c r="K249" s="33" t="str">
        <f t="shared" si="9"/>
        <v>x</v>
      </c>
      <c r="L249" s="7">
        <v>867726</v>
      </c>
      <c r="M249" s="8" t="s">
        <v>25</v>
      </c>
      <c r="N249" s="9" t="s">
        <v>347</v>
      </c>
    </row>
    <row r="250" spans="1:14" ht="14.5" customHeight="1" x14ac:dyDescent="0.35">
      <c r="A250" s="20"/>
      <c r="B250" s="22"/>
      <c r="C250" s="22"/>
      <c r="D250" s="20"/>
      <c r="E250" s="20"/>
      <c r="F250" s="24"/>
      <c r="G250" s="24"/>
      <c r="H250" s="16"/>
      <c r="I250" s="28"/>
      <c r="J250" s="33" t="str">
        <f t="shared" si="8"/>
        <v>-030-039-044-046-053-067-084-090-095-097-098-135-250-258-281-320-322-328-358-383-415-422-502-554-578-650-</v>
      </c>
      <c r="K250" s="33" t="str">
        <f t="shared" si="9"/>
        <v>x</v>
      </c>
      <c r="L250" s="7">
        <v>163395</v>
      </c>
      <c r="M250" s="8" t="s">
        <v>24</v>
      </c>
      <c r="N250" s="9" t="s">
        <v>347</v>
      </c>
    </row>
    <row r="251" spans="1:14" ht="14.5" customHeight="1" x14ac:dyDescent="0.35">
      <c r="A251" s="20"/>
      <c r="B251" s="22"/>
      <c r="C251" s="22"/>
      <c r="D251" s="20"/>
      <c r="E251" s="20"/>
      <c r="F251" s="24"/>
      <c r="G251" s="24"/>
      <c r="H251" s="16"/>
      <c r="I251" s="28"/>
      <c r="J251" s="33" t="str">
        <f t="shared" si="8"/>
        <v>-030-039-044-046-053-067-084-090-095-097-098-135-250-258-281-320-322-328-358-383-415-422-502-554-578-650-</v>
      </c>
      <c r="K251" s="33" t="str">
        <f t="shared" si="9"/>
        <v>x</v>
      </c>
      <c r="L251" s="7">
        <v>163368</v>
      </c>
      <c r="M251" s="8" t="s">
        <v>245</v>
      </c>
      <c r="N251" s="9" t="s">
        <v>347</v>
      </c>
    </row>
    <row r="252" spans="1:14" ht="112.5" x14ac:dyDescent="0.35">
      <c r="A252" s="20"/>
      <c r="B252" s="22"/>
      <c r="C252" s="22"/>
      <c r="D252" s="20"/>
      <c r="E252" s="20"/>
      <c r="F252" s="24"/>
      <c r="G252" s="24"/>
      <c r="H252" s="16"/>
      <c r="I252" s="28"/>
      <c r="J252" s="33" t="str">
        <f t="shared" si="8"/>
        <v>-030-039-044-046-053-067-084-090-095-097-098-135-250-258-281-320-322-328-358-383-415-422-502-554-578-650-</v>
      </c>
      <c r="K252" s="33" t="str">
        <f t="shared" si="9"/>
        <v>x</v>
      </c>
      <c r="L252" s="7">
        <v>181586</v>
      </c>
      <c r="M252" s="8" t="s">
        <v>246</v>
      </c>
      <c r="N252" s="9" t="s">
        <v>347</v>
      </c>
    </row>
    <row r="253" spans="1:14" ht="112.5" x14ac:dyDescent="0.35">
      <c r="A253" s="20"/>
      <c r="B253" s="22"/>
      <c r="C253" s="22"/>
      <c r="D253" s="20"/>
      <c r="E253" s="20"/>
      <c r="F253" s="24"/>
      <c r="G253" s="24"/>
      <c r="H253" s="16"/>
      <c r="I253" s="28"/>
      <c r="J253" s="33" t="str">
        <f t="shared" si="8"/>
        <v>-030-039-044-046-053-067-084-090-095-097-098-135-250-258-281-320-322-328-358-383-415-422-502-554-578-650-</v>
      </c>
      <c r="K253" s="33" t="str">
        <f t="shared" si="9"/>
        <v>x</v>
      </c>
      <c r="L253" s="7">
        <v>3666570</v>
      </c>
      <c r="M253" s="8" t="s">
        <v>247</v>
      </c>
      <c r="N253" s="9" t="s">
        <v>347</v>
      </c>
    </row>
    <row r="254" spans="1:14" ht="112.5" x14ac:dyDescent="0.35">
      <c r="A254" s="20"/>
      <c r="B254" s="22"/>
      <c r="C254" s="22"/>
      <c r="D254" s="20"/>
      <c r="E254" s="20"/>
      <c r="F254" s="24"/>
      <c r="G254" s="24"/>
      <c r="H254" s="16"/>
      <c r="I254" s="28"/>
      <c r="J254" s="33" t="str">
        <f t="shared" si="8"/>
        <v>-030-039-044-046-053-067-084-090-095-097-098-135-250-258-281-320-322-328-358-383-415-422-502-554-578-650-</v>
      </c>
      <c r="K254" s="33" t="str">
        <f t="shared" si="9"/>
        <v>x</v>
      </c>
      <c r="L254" s="7">
        <v>250375</v>
      </c>
      <c r="M254" s="8" t="s">
        <v>248</v>
      </c>
      <c r="N254" s="9" t="s">
        <v>347</v>
      </c>
    </row>
    <row r="255" spans="1:14" ht="112.5" x14ac:dyDescent="0.35">
      <c r="A255" s="20"/>
      <c r="B255" s="22"/>
      <c r="C255" s="22"/>
      <c r="D255" s="20"/>
      <c r="E255" s="20"/>
      <c r="F255" s="24"/>
      <c r="G255" s="24"/>
      <c r="H255" s="16"/>
      <c r="I255" s="28"/>
      <c r="J255" s="33" t="str">
        <f t="shared" si="8"/>
        <v>-030-039-044-046-053-067-084-090-095-097-098-135-250-258-281-320-322-328-358-383-415-422-502-554-578-650-</v>
      </c>
      <c r="K255" s="33" t="str">
        <f t="shared" si="9"/>
        <v>x</v>
      </c>
      <c r="L255" s="7">
        <v>113606</v>
      </c>
      <c r="M255" s="8" t="s">
        <v>249</v>
      </c>
      <c r="N255" s="9" t="s">
        <v>347</v>
      </c>
    </row>
    <row r="256" spans="1:14" ht="112.5" x14ac:dyDescent="0.35">
      <c r="A256" s="20"/>
      <c r="B256" s="22"/>
      <c r="C256" s="22"/>
      <c r="D256" s="20"/>
      <c r="E256" s="20"/>
      <c r="F256" s="24"/>
      <c r="G256" s="24"/>
      <c r="H256" s="16"/>
      <c r="I256" s="28"/>
      <c r="J256" s="33" t="str">
        <f t="shared" si="8"/>
        <v>-030-039-044-046-053-067-084-090-095-097-098-135-250-258-281-320-322-328-358-383-415-422-502-554-578-650-</v>
      </c>
      <c r="K256" s="33" t="str">
        <f t="shared" si="9"/>
        <v>x</v>
      </c>
      <c r="L256" s="7">
        <v>117067</v>
      </c>
      <c r="M256" s="8" t="s">
        <v>250</v>
      </c>
      <c r="N256" s="9" t="s">
        <v>347</v>
      </c>
    </row>
    <row r="257" spans="1:14" ht="112.5" x14ac:dyDescent="0.35">
      <c r="A257" s="20"/>
      <c r="B257" s="22"/>
      <c r="C257" s="22"/>
      <c r="D257" s="20"/>
      <c r="E257" s="20"/>
      <c r="F257" s="24"/>
      <c r="G257" s="24"/>
      <c r="H257" s="16"/>
      <c r="I257" s="28"/>
      <c r="J257" s="33" t="str">
        <f t="shared" si="8"/>
        <v>-030-039-044-046-053-067-084-090-095-097-098-135-250-258-281-320-322-328-358-383-415-422-502-554-578-650-</v>
      </c>
      <c r="K257" s="33" t="str">
        <f t="shared" si="9"/>
        <v>x</v>
      </c>
      <c r="L257" s="7">
        <v>3511762</v>
      </c>
      <c r="M257" s="8" t="s">
        <v>23</v>
      </c>
      <c r="N257" s="9" t="s">
        <v>347</v>
      </c>
    </row>
    <row r="258" spans="1:14" ht="112.5" x14ac:dyDescent="0.35">
      <c r="A258" s="20"/>
      <c r="B258" s="22"/>
      <c r="C258" s="22"/>
      <c r="D258" s="20"/>
      <c r="E258" s="20"/>
      <c r="F258" s="24"/>
      <c r="G258" s="24"/>
      <c r="H258" s="16"/>
      <c r="I258" s="28"/>
      <c r="J258" s="33" t="str">
        <f t="shared" si="8"/>
        <v>-030-039-044-046-053-067-084-090-095-097-098-135-250-258-281-320-322-328-358-383-415-422-502-554-578-650-</v>
      </c>
      <c r="K258" s="33" t="str">
        <f t="shared" si="9"/>
        <v>x</v>
      </c>
      <c r="L258" s="7">
        <v>1024195</v>
      </c>
      <c r="M258" s="8" t="s">
        <v>22</v>
      </c>
      <c r="N258" s="9" t="s">
        <v>347</v>
      </c>
    </row>
    <row r="259" spans="1:14" ht="112.5" x14ac:dyDescent="0.35">
      <c r="A259" s="20"/>
      <c r="B259" s="22"/>
      <c r="C259" s="22"/>
      <c r="D259" s="20"/>
      <c r="E259" s="20"/>
      <c r="F259" s="24"/>
      <c r="G259" s="24"/>
      <c r="H259" s="16"/>
      <c r="I259" s="28"/>
      <c r="J259" s="33" t="str">
        <f t="shared" si="8"/>
        <v>-030-039-044-046-053-067-084-090-095-097-098-135-250-258-281-320-322-328-358-383-415-422-502-554-578-650-</v>
      </c>
      <c r="K259" s="33" t="str">
        <f t="shared" si="9"/>
        <v>x</v>
      </c>
      <c r="L259" s="7">
        <v>327838</v>
      </c>
      <c r="M259" s="8" t="s">
        <v>251</v>
      </c>
      <c r="N259" s="9" t="s">
        <v>347</v>
      </c>
    </row>
    <row r="260" spans="1:14" ht="112.5" x14ac:dyDescent="0.35">
      <c r="A260" s="20"/>
      <c r="B260" s="22"/>
      <c r="C260" s="22"/>
      <c r="D260" s="20"/>
      <c r="E260" s="20"/>
      <c r="F260" s="24"/>
      <c r="G260" s="24"/>
      <c r="H260" s="16"/>
      <c r="I260" s="28"/>
      <c r="J260" s="33" t="str">
        <f t="shared" si="8"/>
        <v>-030-039-044-046-053-067-084-090-095-097-098-135-250-258-281-320-322-328-358-383-415-422-502-554-578-650-</v>
      </c>
      <c r="K260" s="33" t="str">
        <f t="shared" si="9"/>
        <v>x</v>
      </c>
      <c r="L260" s="7">
        <v>3360641</v>
      </c>
      <c r="M260" s="8" t="s">
        <v>21</v>
      </c>
      <c r="N260" s="9" t="s">
        <v>347</v>
      </c>
    </row>
    <row r="261" spans="1:14" ht="112.5" x14ac:dyDescent="0.35">
      <c r="A261" s="20"/>
      <c r="B261" s="22"/>
      <c r="C261" s="22"/>
      <c r="D261" s="20"/>
      <c r="E261" s="20"/>
      <c r="F261" s="24"/>
      <c r="G261" s="24"/>
      <c r="H261" s="16"/>
      <c r="I261" s="28"/>
      <c r="J261" s="33" t="str">
        <f t="shared" si="8"/>
        <v>-030-039-044-046-053-067-084-090-095-097-098-135-250-258-281-320-322-328-358-383-415-422-502-554-578-650-</v>
      </c>
      <c r="K261" s="33" t="str">
        <f t="shared" si="9"/>
        <v>x</v>
      </c>
      <c r="L261" s="7">
        <v>3851510</v>
      </c>
      <c r="M261" s="8" t="s">
        <v>252</v>
      </c>
      <c r="N261" s="9" t="s">
        <v>347</v>
      </c>
    </row>
    <row r="262" spans="1:14" ht="112.5" x14ac:dyDescent="0.35">
      <c r="A262" s="20"/>
      <c r="B262" s="22"/>
      <c r="C262" s="22"/>
      <c r="D262" s="20"/>
      <c r="E262" s="20"/>
      <c r="F262" s="24"/>
      <c r="G262" s="24"/>
      <c r="H262" s="16"/>
      <c r="I262" s="28"/>
      <c r="J262" s="33" t="str">
        <f t="shared" ref="J262:J325" si="10">IF(I262&lt;&gt;"","-"&amp;I262&amp;"-",J261)</f>
        <v>-030-039-044-046-053-067-084-090-095-097-098-135-250-258-281-320-322-328-358-383-415-422-502-554-578-650-</v>
      </c>
      <c r="K262" s="33" t="str">
        <f t="shared" ref="K262:K325" si="11">IF(L262="","",IF(J262="TODOS ÉXITO A NIVEL NACIONAL-","x",IFERROR(IF(VALUE(IF(L262="","",FIND($AJ$2,J262,1)))&lt;&gt;"","x",""),"")))</f>
        <v/>
      </c>
      <c r="L262" s="7"/>
      <c r="M262" s="8"/>
      <c r="N262" s="9"/>
    </row>
    <row r="263" spans="1:14" ht="112.5" x14ac:dyDescent="0.35">
      <c r="A263" s="20"/>
      <c r="B263" s="22"/>
      <c r="C263" s="22"/>
      <c r="D263" s="20"/>
      <c r="E263" s="20"/>
      <c r="F263" s="24"/>
      <c r="G263" s="24"/>
      <c r="H263" s="16"/>
      <c r="I263" s="28"/>
      <c r="J263" s="33" t="str">
        <f t="shared" si="10"/>
        <v>-030-039-044-046-053-067-084-090-095-097-098-135-250-258-281-320-322-328-358-383-415-422-502-554-578-650-</v>
      </c>
      <c r="K263" s="33" t="str">
        <f t="shared" si="11"/>
        <v/>
      </c>
      <c r="L263" s="7"/>
      <c r="M263" s="8"/>
      <c r="N263" s="9"/>
    </row>
    <row r="264" spans="1:14" ht="14.5" customHeight="1" x14ac:dyDescent="0.35">
      <c r="A264" s="20">
        <v>67</v>
      </c>
      <c r="B264" s="22" t="s">
        <v>344</v>
      </c>
      <c r="C264" s="22" t="s">
        <v>11</v>
      </c>
      <c r="D264" s="20"/>
      <c r="E264" s="20" t="s">
        <v>345</v>
      </c>
      <c r="F264" s="23" t="s">
        <v>346</v>
      </c>
      <c r="G264" s="23"/>
      <c r="H264" s="16" t="s">
        <v>69</v>
      </c>
      <c r="I264" s="28" t="s">
        <v>12</v>
      </c>
      <c r="J264" s="33" t="str">
        <f t="shared" si="10"/>
        <v>-030-039-044-046-053-067-084-090-095-097-098-135-250-258-281-320-322-328-358-383-415-422-502-554-578-650-</v>
      </c>
      <c r="K264" s="33" t="str">
        <f t="shared" si="11"/>
        <v>x</v>
      </c>
      <c r="L264" s="7">
        <v>3333394</v>
      </c>
      <c r="M264" s="8" t="s">
        <v>262</v>
      </c>
      <c r="N264" s="9" t="s">
        <v>347</v>
      </c>
    </row>
    <row r="265" spans="1:14" ht="14.5" customHeight="1" x14ac:dyDescent="0.35">
      <c r="A265" s="20"/>
      <c r="B265" s="22"/>
      <c r="C265" s="22"/>
      <c r="D265" s="20"/>
      <c r="E265" s="20"/>
      <c r="F265" s="24"/>
      <c r="G265" s="24"/>
      <c r="H265" s="16"/>
      <c r="I265" s="28"/>
      <c r="J265" s="33" t="str">
        <f t="shared" si="10"/>
        <v>-030-039-044-046-053-067-084-090-095-097-098-135-250-258-281-320-322-328-358-383-415-422-502-554-578-650-</v>
      </c>
      <c r="K265" s="33" t="str">
        <f t="shared" si="11"/>
        <v>x</v>
      </c>
      <c r="L265" s="7">
        <v>3591250</v>
      </c>
      <c r="M265" s="8" t="s">
        <v>263</v>
      </c>
      <c r="N265" s="9" t="s">
        <v>347</v>
      </c>
    </row>
    <row r="266" spans="1:14" ht="14.5" customHeight="1" x14ac:dyDescent="0.35">
      <c r="A266" s="20"/>
      <c r="B266" s="22"/>
      <c r="C266" s="22"/>
      <c r="D266" s="20"/>
      <c r="E266" s="20"/>
      <c r="F266" s="24"/>
      <c r="G266" s="24"/>
      <c r="H266" s="16"/>
      <c r="I266" s="28"/>
      <c r="J266" s="33" t="str">
        <f t="shared" si="10"/>
        <v>-030-039-044-046-053-067-084-090-095-097-098-135-250-258-281-320-322-328-358-383-415-422-502-554-578-650-</v>
      </c>
      <c r="K266" s="33" t="str">
        <f t="shared" si="11"/>
        <v>x</v>
      </c>
      <c r="L266" s="7">
        <v>3613389</v>
      </c>
      <c r="M266" s="8" t="s">
        <v>264</v>
      </c>
      <c r="N266" s="9" t="s">
        <v>347</v>
      </c>
    </row>
    <row r="267" spans="1:14" ht="112.5" x14ac:dyDescent="0.35">
      <c r="A267" s="20"/>
      <c r="B267" s="22"/>
      <c r="C267" s="22"/>
      <c r="D267" s="20"/>
      <c r="E267" s="20"/>
      <c r="F267" s="24"/>
      <c r="G267" s="24"/>
      <c r="H267" s="16"/>
      <c r="I267" s="28"/>
      <c r="J267" s="33" t="str">
        <f t="shared" si="10"/>
        <v>-030-039-044-046-053-067-084-090-095-097-098-135-250-258-281-320-322-328-358-383-415-422-502-554-578-650-</v>
      </c>
      <c r="K267" s="33" t="str">
        <f t="shared" si="11"/>
        <v>x</v>
      </c>
      <c r="L267" s="7">
        <v>163875</v>
      </c>
      <c r="M267" s="8" t="s">
        <v>265</v>
      </c>
      <c r="N267" s="9" t="s">
        <v>347</v>
      </c>
    </row>
    <row r="268" spans="1:14" ht="112.5" x14ac:dyDescent="0.35">
      <c r="A268" s="20"/>
      <c r="B268" s="22"/>
      <c r="C268" s="22"/>
      <c r="D268" s="20"/>
      <c r="E268" s="20"/>
      <c r="F268" s="24"/>
      <c r="G268" s="24"/>
      <c r="H268" s="16"/>
      <c r="I268" s="28"/>
      <c r="J268" s="33" t="str">
        <f t="shared" si="10"/>
        <v>-030-039-044-046-053-067-084-090-095-097-098-135-250-258-281-320-322-328-358-383-415-422-502-554-578-650-</v>
      </c>
      <c r="K268" s="33" t="str">
        <f t="shared" si="11"/>
        <v>x</v>
      </c>
      <c r="L268" s="7">
        <v>3595524</v>
      </c>
      <c r="M268" s="8" t="s">
        <v>266</v>
      </c>
      <c r="N268" s="9" t="s">
        <v>347</v>
      </c>
    </row>
    <row r="269" spans="1:14" ht="112.5" x14ac:dyDescent="0.35">
      <c r="A269" s="20"/>
      <c r="B269" s="22"/>
      <c r="C269" s="22"/>
      <c r="D269" s="20"/>
      <c r="E269" s="20"/>
      <c r="F269" s="24"/>
      <c r="G269" s="24"/>
      <c r="H269" s="16"/>
      <c r="I269" s="28"/>
      <c r="J269" s="33" t="str">
        <f t="shared" si="10"/>
        <v>-030-039-044-046-053-067-084-090-095-097-098-135-250-258-281-320-322-328-358-383-415-422-502-554-578-650-</v>
      </c>
      <c r="K269" s="33" t="str">
        <f t="shared" si="11"/>
        <v>x</v>
      </c>
      <c r="L269" s="7">
        <v>3638789</v>
      </c>
      <c r="M269" s="8" t="s">
        <v>267</v>
      </c>
      <c r="N269" s="9" t="s">
        <v>359</v>
      </c>
    </row>
    <row r="270" spans="1:14" ht="112.5" x14ac:dyDescent="0.35">
      <c r="A270" s="20"/>
      <c r="B270" s="22"/>
      <c r="C270" s="22"/>
      <c r="D270" s="20"/>
      <c r="E270" s="20"/>
      <c r="F270" s="24"/>
      <c r="G270" s="24"/>
      <c r="H270" s="16"/>
      <c r="I270" s="28"/>
      <c r="J270" s="33" t="str">
        <f t="shared" si="10"/>
        <v>-030-039-044-046-053-067-084-090-095-097-098-135-250-258-281-320-322-328-358-383-415-422-502-554-578-650-</v>
      </c>
      <c r="K270" s="33" t="str">
        <f t="shared" si="11"/>
        <v>x</v>
      </c>
      <c r="L270" s="7">
        <v>3649183</v>
      </c>
      <c r="M270" s="8" t="s">
        <v>268</v>
      </c>
      <c r="N270" s="9" t="s">
        <v>347</v>
      </c>
    </row>
    <row r="271" spans="1:14" ht="112.5" x14ac:dyDescent="0.35">
      <c r="A271" s="20"/>
      <c r="B271" s="22"/>
      <c r="C271" s="22"/>
      <c r="D271" s="20"/>
      <c r="E271" s="20"/>
      <c r="F271" s="24"/>
      <c r="G271" s="24"/>
      <c r="H271" s="16"/>
      <c r="I271" s="28"/>
      <c r="J271" s="33" t="str">
        <f t="shared" si="10"/>
        <v>-030-039-044-046-053-067-084-090-095-097-098-135-250-258-281-320-322-328-358-383-415-422-502-554-578-650-</v>
      </c>
      <c r="K271" s="33" t="str">
        <f t="shared" si="11"/>
        <v>x</v>
      </c>
      <c r="L271" s="7">
        <v>3637388</v>
      </c>
      <c r="M271" s="8" t="s">
        <v>269</v>
      </c>
      <c r="N271" s="9" t="s">
        <v>359</v>
      </c>
    </row>
    <row r="272" spans="1:14" ht="112.5" x14ac:dyDescent="0.35">
      <c r="A272" s="20"/>
      <c r="B272" s="22"/>
      <c r="C272" s="22"/>
      <c r="D272" s="20"/>
      <c r="E272" s="20"/>
      <c r="F272" s="24"/>
      <c r="G272" s="24"/>
      <c r="H272" s="16"/>
      <c r="I272" s="28"/>
      <c r="J272" s="33" t="str">
        <f t="shared" si="10"/>
        <v>-030-039-044-046-053-067-084-090-095-097-098-135-250-258-281-320-322-328-358-383-415-422-502-554-578-650-</v>
      </c>
      <c r="K272" s="33" t="str">
        <f t="shared" si="11"/>
        <v/>
      </c>
      <c r="L272" s="7"/>
      <c r="M272" s="8"/>
      <c r="N272" s="9"/>
    </row>
    <row r="273" spans="1:14" ht="112.5" x14ac:dyDescent="0.35">
      <c r="A273" s="20"/>
      <c r="B273" s="22"/>
      <c r="C273" s="22"/>
      <c r="D273" s="20"/>
      <c r="E273" s="20"/>
      <c r="F273" s="24"/>
      <c r="G273" s="24"/>
      <c r="H273" s="16"/>
      <c r="I273" s="28"/>
      <c r="J273" s="33" t="str">
        <f t="shared" si="10"/>
        <v>-030-039-044-046-053-067-084-090-095-097-098-135-250-258-281-320-322-328-358-383-415-422-502-554-578-650-</v>
      </c>
      <c r="K273" s="33" t="str">
        <f t="shared" si="11"/>
        <v/>
      </c>
      <c r="L273" s="7"/>
      <c r="M273" s="8"/>
      <c r="N273" s="9"/>
    </row>
    <row r="274" spans="1:14" ht="14.5" customHeight="1" x14ac:dyDescent="0.35">
      <c r="A274" s="20" t="s">
        <v>153</v>
      </c>
      <c r="B274" s="22" t="s">
        <v>344</v>
      </c>
      <c r="C274" s="22" t="s">
        <v>270</v>
      </c>
      <c r="D274" s="20"/>
      <c r="E274" s="20" t="s">
        <v>345</v>
      </c>
      <c r="F274" s="23" t="s">
        <v>346</v>
      </c>
      <c r="G274" s="23"/>
      <c r="H274" s="16" t="s">
        <v>69</v>
      </c>
      <c r="I274" s="28" t="s">
        <v>12</v>
      </c>
      <c r="J274" s="33" t="str">
        <f t="shared" si="10"/>
        <v>-030-039-044-046-053-067-084-090-095-097-098-135-250-258-281-320-322-328-358-383-415-422-502-554-578-650-</v>
      </c>
      <c r="K274" s="33" t="str">
        <f t="shared" si="11"/>
        <v>x</v>
      </c>
      <c r="L274" s="7">
        <v>3555341</v>
      </c>
      <c r="M274" s="8" t="s">
        <v>271</v>
      </c>
      <c r="N274" s="9" t="s">
        <v>347</v>
      </c>
    </row>
    <row r="275" spans="1:14" ht="14.5" customHeight="1" x14ac:dyDescent="0.35">
      <c r="A275" s="20"/>
      <c r="B275" s="22"/>
      <c r="C275" s="22"/>
      <c r="D275" s="20"/>
      <c r="E275" s="20"/>
      <c r="F275" s="24"/>
      <c r="G275" s="24"/>
      <c r="H275" s="16"/>
      <c r="I275" s="28"/>
      <c r="J275" s="33" t="str">
        <f t="shared" si="10"/>
        <v>-030-039-044-046-053-067-084-090-095-097-098-135-250-258-281-320-322-328-358-383-415-422-502-554-578-650-</v>
      </c>
      <c r="K275" s="33" t="str">
        <f t="shared" si="11"/>
        <v>x</v>
      </c>
      <c r="L275" s="7">
        <v>3555346</v>
      </c>
      <c r="M275" s="8" t="s">
        <v>272</v>
      </c>
      <c r="N275" s="9" t="s">
        <v>359</v>
      </c>
    </row>
    <row r="276" spans="1:14" ht="14.5" customHeight="1" x14ac:dyDescent="0.35">
      <c r="A276" s="20"/>
      <c r="B276" s="22"/>
      <c r="C276" s="22"/>
      <c r="D276" s="20"/>
      <c r="E276" s="20"/>
      <c r="F276" s="24"/>
      <c r="G276" s="24"/>
      <c r="H276" s="16"/>
      <c r="I276" s="28"/>
      <c r="J276" s="33" t="str">
        <f t="shared" si="10"/>
        <v>-030-039-044-046-053-067-084-090-095-097-098-135-250-258-281-320-322-328-358-383-415-422-502-554-578-650-</v>
      </c>
      <c r="K276" s="33" t="str">
        <f t="shared" si="11"/>
        <v>x</v>
      </c>
      <c r="L276" s="7">
        <v>3555344</v>
      </c>
      <c r="M276" s="8" t="s">
        <v>273</v>
      </c>
      <c r="N276" s="9" t="s">
        <v>347</v>
      </c>
    </row>
    <row r="277" spans="1:14" ht="112.5" x14ac:dyDescent="0.35">
      <c r="A277" s="20"/>
      <c r="B277" s="22"/>
      <c r="C277" s="22"/>
      <c r="D277" s="20"/>
      <c r="E277" s="20"/>
      <c r="F277" s="24"/>
      <c r="G277" s="24"/>
      <c r="H277" s="16"/>
      <c r="I277" s="28"/>
      <c r="J277" s="33" t="str">
        <f t="shared" si="10"/>
        <v>-030-039-044-046-053-067-084-090-095-097-098-135-250-258-281-320-322-328-358-383-415-422-502-554-578-650-</v>
      </c>
      <c r="K277" s="33" t="str">
        <f t="shared" si="11"/>
        <v>x</v>
      </c>
      <c r="L277" s="7">
        <v>3555342</v>
      </c>
      <c r="M277" s="8" t="s">
        <v>274</v>
      </c>
      <c r="N277" s="9" t="s">
        <v>347</v>
      </c>
    </row>
    <row r="278" spans="1:14" ht="112.5" x14ac:dyDescent="0.35">
      <c r="A278" s="20"/>
      <c r="B278" s="22"/>
      <c r="C278" s="22"/>
      <c r="D278" s="20"/>
      <c r="E278" s="20"/>
      <c r="F278" s="24"/>
      <c r="G278" s="24"/>
      <c r="H278" s="16"/>
      <c r="I278" s="28"/>
      <c r="J278" s="33" t="str">
        <f t="shared" si="10"/>
        <v>-030-039-044-046-053-067-084-090-095-097-098-135-250-258-281-320-322-328-358-383-415-422-502-554-578-650-</v>
      </c>
      <c r="K278" s="33" t="str">
        <f t="shared" si="11"/>
        <v>x</v>
      </c>
      <c r="L278" s="7">
        <v>3555340</v>
      </c>
      <c r="M278" s="8" t="s">
        <v>275</v>
      </c>
      <c r="N278" s="9" t="s">
        <v>347</v>
      </c>
    </row>
    <row r="279" spans="1:14" ht="112.5" x14ac:dyDescent="0.35">
      <c r="A279" s="20"/>
      <c r="B279" s="22"/>
      <c r="C279" s="22"/>
      <c r="D279" s="20"/>
      <c r="E279" s="20"/>
      <c r="F279" s="24"/>
      <c r="G279" s="24"/>
      <c r="H279" s="16"/>
      <c r="I279" s="28"/>
      <c r="J279" s="33" t="str">
        <f t="shared" si="10"/>
        <v>-030-039-044-046-053-067-084-090-095-097-098-135-250-258-281-320-322-328-358-383-415-422-502-554-578-650-</v>
      </c>
      <c r="K279" s="33" t="str">
        <f t="shared" si="11"/>
        <v>x</v>
      </c>
      <c r="L279" s="7">
        <v>3555343</v>
      </c>
      <c r="M279" s="8" t="s">
        <v>275</v>
      </c>
      <c r="N279" s="9" t="s">
        <v>347</v>
      </c>
    </row>
    <row r="280" spans="1:14" ht="112.5" x14ac:dyDescent="0.35">
      <c r="A280" s="20"/>
      <c r="B280" s="22"/>
      <c r="C280" s="22"/>
      <c r="D280" s="20"/>
      <c r="E280" s="20"/>
      <c r="F280" s="24"/>
      <c r="G280" s="24"/>
      <c r="H280" s="16"/>
      <c r="I280" s="28"/>
      <c r="J280" s="33" t="str">
        <f t="shared" si="10"/>
        <v>-030-039-044-046-053-067-084-090-095-097-098-135-250-258-281-320-322-328-358-383-415-422-502-554-578-650-</v>
      </c>
      <c r="K280" s="33" t="str">
        <f t="shared" si="11"/>
        <v/>
      </c>
      <c r="L280" s="7"/>
      <c r="M280" s="8"/>
      <c r="N280" s="9"/>
    </row>
    <row r="281" spans="1:14" ht="112.5" x14ac:dyDescent="0.35">
      <c r="A281" s="20"/>
      <c r="B281" s="22"/>
      <c r="C281" s="22"/>
      <c r="D281" s="20"/>
      <c r="E281" s="20"/>
      <c r="F281" s="24"/>
      <c r="G281" s="24"/>
      <c r="H281" s="16"/>
      <c r="I281" s="28"/>
      <c r="J281" s="33" t="str">
        <f t="shared" si="10"/>
        <v>-030-039-044-046-053-067-084-090-095-097-098-135-250-258-281-320-322-328-358-383-415-422-502-554-578-650-</v>
      </c>
      <c r="K281" s="33" t="str">
        <f t="shared" si="11"/>
        <v/>
      </c>
      <c r="L281" s="7"/>
      <c r="M281" s="8"/>
      <c r="N281" s="9"/>
    </row>
    <row r="282" spans="1:14" ht="112.5" x14ac:dyDescent="0.35">
      <c r="A282" s="20"/>
      <c r="B282" s="22"/>
      <c r="C282" s="22"/>
      <c r="D282" s="20"/>
      <c r="E282" s="20"/>
      <c r="F282" s="24"/>
      <c r="G282" s="24"/>
      <c r="H282" s="16"/>
      <c r="I282" s="28"/>
      <c r="J282" s="33" t="str">
        <f t="shared" si="10"/>
        <v>-030-039-044-046-053-067-084-090-095-097-098-135-250-258-281-320-322-328-358-383-415-422-502-554-578-650-</v>
      </c>
      <c r="K282" s="33" t="str">
        <f t="shared" si="11"/>
        <v/>
      </c>
      <c r="L282" s="7"/>
      <c r="M282" s="8"/>
      <c r="N282" s="9"/>
    </row>
    <row r="283" spans="1:14" ht="112.5" x14ac:dyDescent="0.35">
      <c r="A283" s="20"/>
      <c r="B283" s="22"/>
      <c r="C283" s="22"/>
      <c r="D283" s="20"/>
      <c r="E283" s="20"/>
      <c r="F283" s="24"/>
      <c r="G283" s="24"/>
      <c r="H283" s="16"/>
      <c r="I283" s="28"/>
      <c r="J283" s="33" t="str">
        <f t="shared" si="10"/>
        <v>-030-039-044-046-053-067-084-090-095-097-098-135-250-258-281-320-322-328-358-383-415-422-502-554-578-650-</v>
      </c>
      <c r="K283" s="33" t="str">
        <f t="shared" si="11"/>
        <v/>
      </c>
      <c r="L283" s="7"/>
      <c r="M283" s="8"/>
      <c r="N283" s="9"/>
    </row>
    <row r="284" spans="1:14" ht="262.5" x14ac:dyDescent="0.35">
      <c r="A284" s="16">
        <v>406</v>
      </c>
      <c r="B284" s="25" t="s">
        <v>344</v>
      </c>
      <c r="C284" s="26" t="s">
        <v>56</v>
      </c>
      <c r="D284" s="16"/>
      <c r="E284" s="25" t="s">
        <v>345</v>
      </c>
      <c r="F284" s="27" t="s">
        <v>346</v>
      </c>
      <c r="G284" s="27"/>
      <c r="H284" s="16" t="s">
        <v>36</v>
      </c>
      <c r="I284" s="19" t="s">
        <v>37</v>
      </c>
      <c r="J284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4" s="33" t="str">
        <f t="shared" si="11"/>
        <v>x</v>
      </c>
      <c r="L284" s="7">
        <v>19026</v>
      </c>
      <c r="M284" s="8" t="s">
        <v>276</v>
      </c>
      <c r="N284" s="9" t="s">
        <v>347</v>
      </c>
    </row>
    <row r="285" spans="1:14" ht="262.5" x14ac:dyDescent="0.35">
      <c r="A285" s="16"/>
      <c r="B285" s="25"/>
      <c r="C285" s="26"/>
      <c r="D285" s="16"/>
      <c r="E285" s="25"/>
      <c r="F285" s="19"/>
      <c r="G285" s="19"/>
      <c r="H285" s="16"/>
      <c r="I285" s="19"/>
      <c r="J285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5" s="33" t="str">
        <f t="shared" si="11"/>
        <v>x</v>
      </c>
      <c r="L285" s="7">
        <v>21155</v>
      </c>
      <c r="M285" s="8" t="s">
        <v>277</v>
      </c>
      <c r="N285" s="9" t="s">
        <v>347</v>
      </c>
    </row>
    <row r="286" spans="1:14" ht="262.5" x14ac:dyDescent="0.35">
      <c r="A286" s="16"/>
      <c r="B286" s="25"/>
      <c r="C286" s="26"/>
      <c r="D286" s="16"/>
      <c r="E286" s="25"/>
      <c r="F286" s="19"/>
      <c r="G286" s="19"/>
      <c r="H286" s="16"/>
      <c r="I286" s="19"/>
      <c r="J286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6" s="33" t="str">
        <f t="shared" si="11"/>
        <v>x</v>
      </c>
      <c r="L286" s="7">
        <v>411869</v>
      </c>
      <c r="M286" s="8" t="s">
        <v>278</v>
      </c>
      <c r="N286" s="9" t="s">
        <v>347</v>
      </c>
    </row>
    <row r="287" spans="1:14" ht="262.5" x14ac:dyDescent="0.35">
      <c r="A287" s="16"/>
      <c r="B287" s="25"/>
      <c r="C287" s="26"/>
      <c r="D287" s="16"/>
      <c r="E287" s="25"/>
      <c r="F287" s="19"/>
      <c r="G287" s="19"/>
      <c r="H287" s="16"/>
      <c r="I287" s="19"/>
      <c r="J287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7" s="33" t="str">
        <f t="shared" si="11"/>
        <v>x</v>
      </c>
      <c r="L287" s="7">
        <v>19254</v>
      </c>
      <c r="M287" s="8" t="s">
        <v>279</v>
      </c>
      <c r="N287" s="9" t="s">
        <v>347</v>
      </c>
    </row>
    <row r="288" spans="1:14" ht="262.5" x14ac:dyDescent="0.35">
      <c r="A288" s="16"/>
      <c r="B288" s="25"/>
      <c r="C288" s="26"/>
      <c r="D288" s="16"/>
      <c r="E288" s="25"/>
      <c r="F288" s="19"/>
      <c r="G288" s="19"/>
      <c r="H288" s="16"/>
      <c r="I288" s="19"/>
      <c r="J288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8" s="33" t="str">
        <f t="shared" si="11"/>
        <v>x</v>
      </c>
      <c r="L288" s="7">
        <v>3391270</v>
      </c>
      <c r="M288" s="8" t="s">
        <v>280</v>
      </c>
      <c r="N288" s="9" t="s">
        <v>347</v>
      </c>
    </row>
    <row r="289" spans="1:14" ht="262.5" x14ac:dyDescent="0.35">
      <c r="A289" s="16"/>
      <c r="B289" s="25"/>
      <c r="C289" s="26"/>
      <c r="D289" s="16"/>
      <c r="E289" s="25"/>
      <c r="F289" s="19"/>
      <c r="G289" s="19"/>
      <c r="H289" s="16"/>
      <c r="I289" s="19"/>
      <c r="J289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89" s="33" t="str">
        <f t="shared" si="11"/>
        <v>x</v>
      </c>
      <c r="L289" s="7">
        <v>326049</v>
      </c>
      <c r="M289" s="8" t="s">
        <v>281</v>
      </c>
      <c r="N289" s="9" t="s">
        <v>347</v>
      </c>
    </row>
    <row r="290" spans="1:14" ht="262.5" x14ac:dyDescent="0.35">
      <c r="A290" s="16"/>
      <c r="B290" s="25"/>
      <c r="C290" s="26"/>
      <c r="D290" s="16"/>
      <c r="E290" s="25"/>
      <c r="F290" s="19"/>
      <c r="G290" s="19"/>
      <c r="H290" s="16"/>
      <c r="I290" s="19"/>
      <c r="J290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0" s="33" t="str">
        <f t="shared" si="11"/>
        <v>x</v>
      </c>
      <c r="L290" s="7">
        <v>53563</v>
      </c>
      <c r="M290" s="8" t="s">
        <v>282</v>
      </c>
      <c r="N290" s="9" t="s">
        <v>347</v>
      </c>
    </row>
    <row r="291" spans="1:14" ht="262.5" x14ac:dyDescent="0.35">
      <c r="A291" s="16"/>
      <c r="B291" s="25"/>
      <c r="C291" s="26"/>
      <c r="D291" s="16"/>
      <c r="E291" s="25"/>
      <c r="F291" s="19"/>
      <c r="G291" s="19"/>
      <c r="H291" s="16"/>
      <c r="I291" s="19"/>
      <c r="J291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1" s="33" t="str">
        <f t="shared" si="11"/>
        <v>x</v>
      </c>
      <c r="L291" s="7">
        <v>1695974</v>
      </c>
      <c r="M291" s="8" t="s">
        <v>283</v>
      </c>
      <c r="N291" s="9" t="s">
        <v>347</v>
      </c>
    </row>
    <row r="292" spans="1:14" ht="262.5" x14ac:dyDescent="0.35">
      <c r="A292" s="16"/>
      <c r="B292" s="25"/>
      <c r="C292" s="26"/>
      <c r="D292" s="16"/>
      <c r="E292" s="25"/>
      <c r="F292" s="19"/>
      <c r="G292" s="19"/>
      <c r="H292" s="16"/>
      <c r="I292" s="19"/>
      <c r="J292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2" s="33" t="str">
        <f t="shared" si="11"/>
        <v/>
      </c>
      <c r="L292" s="7"/>
      <c r="M292" s="8"/>
      <c r="N292" s="9"/>
    </row>
    <row r="293" spans="1:14" ht="262.5" x14ac:dyDescent="0.35">
      <c r="A293" s="16"/>
      <c r="B293" s="25"/>
      <c r="C293" s="26"/>
      <c r="D293" s="16"/>
      <c r="E293" s="25"/>
      <c r="F293" s="19"/>
      <c r="G293" s="19"/>
      <c r="H293" s="16"/>
      <c r="I293" s="19"/>
      <c r="J293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3" s="33" t="str">
        <f t="shared" si="11"/>
        <v/>
      </c>
      <c r="L293" s="7"/>
      <c r="M293" s="8"/>
      <c r="N293" s="9"/>
    </row>
    <row r="294" spans="1:14" ht="262.5" x14ac:dyDescent="0.35">
      <c r="A294" s="16"/>
      <c r="B294" s="25"/>
      <c r="C294" s="26"/>
      <c r="D294" s="16"/>
      <c r="E294" s="25"/>
      <c r="F294" s="19"/>
      <c r="G294" s="19"/>
      <c r="H294" s="16"/>
      <c r="I294" s="19"/>
      <c r="J294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294" s="33" t="str">
        <f t="shared" si="11"/>
        <v/>
      </c>
      <c r="L294" s="7"/>
      <c r="M294" s="8"/>
      <c r="N294" s="9"/>
    </row>
    <row r="295" spans="1:14" ht="14.5" customHeight="1" x14ac:dyDescent="0.35">
      <c r="A295" s="20" t="s">
        <v>294</v>
      </c>
      <c r="B295" s="22" t="s">
        <v>344</v>
      </c>
      <c r="C295" s="22" t="s">
        <v>19</v>
      </c>
      <c r="D295" s="20"/>
      <c r="E295" s="20" t="s">
        <v>345</v>
      </c>
      <c r="F295" s="23" t="s">
        <v>346</v>
      </c>
      <c r="G295" s="23"/>
      <c r="H295" s="16" t="s">
        <v>69</v>
      </c>
      <c r="I295" s="28" t="s">
        <v>12</v>
      </c>
      <c r="J295" s="33" t="str">
        <f t="shared" si="10"/>
        <v>-030-039-044-046-053-067-084-090-095-097-098-135-250-258-281-320-322-328-358-383-415-422-502-554-578-650-</v>
      </c>
      <c r="K295" s="33" t="str">
        <f t="shared" si="11"/>
        <v>x</v>
      </c>
      <c r="L295" s="7">
        <v>293763</v>
      </c>
      <c r="M295" s="8" t="s">
        <v>295</v>
      </c>
      <c r="N295" s="9" t="s">
        <v>38</v>
      </c>
    </row>
    <row r="296" spans="1:14" ht="14.5" customHeight="1" x14ac:dyDescent="0.35">
      <c r="A296" s="20"/>
      <c r="B296" s="22"/>
      <c r="C296" s="22"/>
      <c r="D296" s="20"/>
      <c r="E296" s="20"/>
      <c r="F296" s="24"/>
      <c r="G296" s="24"/>
      <c r="H296" s="16"/>
      <c r="I296" s="28"/>
      <c r="J296" s="33" t="str">
        <f t="shared" si="10"/>
        <v>-030-039-044-046-053-067-084-090-095-097-098-135-250-258-281-320-322-328-358-383-415-422-502-554-578-650-</v>
      </c>
      <c r="K296" s="33" t="str">
        <f t="shared" si="11"/>
        <v>x</v>
      </c>
      <c r="L296" s="7">
        <v>3005890</v>
      </c>
      <c r="M296" s="8" t="s">
        <v>296</v>
      </c>
      <c r="N296" s="9" t="s">
        <v>38</v>
      </c>
    </row>
    <row r="297" spans="1:14" ht="14.5" customHeight="1" x14ac:dyDescent="0.35">
      <c r="A297" s="20"/>
      <c r="B297" s="22"/>
      <c r="C297" s="22"/>
      <c r="D297" s="20"/>
      <c r="E297" s="20"/>
      <c r="F297" s="24"/>
      <c r="G297" s="24"/>
      <c r="H297" s="16"/>
      <c r="I297" s="28"/>
      <c r="J297" s="33" t="str">
        <f t="shared" si="10"/>
        <v>-030-039-044-046-053-067-084-090-095-097-098-135-250-258-281-320-322-328-358-383-415-422-502-554-578-650-</v>
      </c>
      <c r="K297" s="33" t="str">
        <f t="shared" si="11"/>
        <v>x</v>
      </c>
      <c r="L297" s="7">
        <v>3605345</v>
      </c>
      <c r="M297" s="8" t="s">
        <v>297</v>
      </c>
      <c r="N297" s="9" t="s">
        <v>38</v>
      </c>
    </row>
    <row r="298" spans="1:14" ht="112.5" x14ac:dyDescent="0.35">
      <c r="A298" s="20"/>
      <c r="B298" s="22"/>
      <c r="C298" s="22"/>
      <c r="D298" s="20"/>
      <c r="E298" s="20"/>
      <c r="F298" s="24"/>
      <c r="G298" s="24"/>
      <c r="H298" s="16"/>
      <c r="I298" s="28"/>
      <c r="J298" s="33" t="str">
        <f t="shared" si="10"/>
        <v>-030-039-044-046-053-067-084-090-095-097-098-135-250-258-281-320-322-328-358-383-415-422-502-554-578-650-</v>
      </c>
      <c r="K298" s="33" t="str">
        <f t="shared" si="11"/>
        <v>x</v>
      </c>
      <c r="L298" s="7">
        <v>127214</v>
      </c>
      <c r="M298" s="8" t="s">
        <v>298</v>
      </c>
      <c r="N298" s="9" t="s">
        <v>38</v>
      </c>
    </row>
    <row r="299" spans="1:14" ht="112.5" x14ac:dyDescent="0.35">
      <c r="A299" s="20"/>
      <c r="B299" s="22"/>
      <c r="C299" s="22"/>
      <c r="D299" s="20"/>
      <c r="E299" s="20"/>
      <c r="F299" s="24"/>
      <c r="G299" s="24"/>
      <c r="H299" s="16"/>
      <c r="I299" s="28"/>
      <c r="J299" s="33" t="str">
        <f t="shared" si="10"/>
        <v>-030-039-044-046-053-067-084-090-095-097-098-135-250-258-281-320-322-328-358-383-415-422-502-554-578-650-</v>
      </c>
      <c r="K299" s="33" t="str">
        <f t="shared" si="11"/>
        <v>x</v>
      </c>
      <c r="L299" s="7">
        <v>865746</v>
      </c>
      <c r="M299" s="8" t="s">
        <v>299</v>
      </c>
      <c r="N299" s="9" t="s">
        <v>38</v>
      </c>
    </row>
    <row r="300" spans="1:14" ht="112.5" x14ac:dyDescent="0.35">
      <c r="A300" s="20"/>
      <c r="B300" s="22"/>
      <c r="C300" s="22"/>
      <c r="D300" s="20"/>
      <c r="E300" s="20"/>
      <c r="F300" s="24"/>
      <c r="G300" s="24"/>
      <c r="H300" s="16"/>
      <c r="I300" s="28"/>
      <c r="J300" s="33" t="str">
        <f t="shared" si="10"/>
        <v>-030-039-044-046-053-067-084-090-095-097-098-135-250-258-281-320-322-328-358-383-415-422-502-554-578-650-</v>
      </c>
      <c r="K300" s="33" t="str">
        <f t="shared" si="11"/>
        <v>x</v>
      </c>
      <c r="L300" s="7">
        <v>1712022</v>
      </c>
      <c r="M300" s="8" t="s">
        <v>300</v>
      </c>
      <c r="N300" s="9" t="s">
        <v>38</v>
      </c>
    </row>
    <row r="301" spans="1:14" ht="112.5" x14ac:dyDescent="0.35">
      <c r="A301" s="20"/>
      <c r="B301" s="22"/>
      <c r="C301" s="22"/>
      <c r="D301" s="20"/>
      <c r="E301" s="20"/>
      <c r="F301" s="24"/>
      <c r="G301" s="24"/>
      <c r="H301" s="16"/>
      <c r="I301" s="28"/>
      <c r="J301" s="33" t="str">
        <f t="shared" si="10"/>
        <v>-030-039-044-046-053-067-084-090-095-097-098-135-250-258-281-320-322-328-358-383-415-422-502-554-578-650-</v>
      </c>
      <c r="K301" s="33" t="str">
        <f t="shared" si="11"/>
        <v/>
      </c>
      <c r="L301" s="7"/>
      <c r="M301" s="8"/>
      <c r="N301" s="9"/>
    </row>
    <row r="302" spans="1:14" ht="112.5" x14ac:dyDescent="0.35">
      <c r="A302" s="20"/>
      <c r="B302" s="22"/>
      <c r="C302" s="22"/>
      <c r="D302" s="20"/>
      <c r="E302" s="20"/>
      <c r="F302" s="24"/>
      <c r="G302" s="24"/>
      <c r="H302" s="16"/>
      <c r="I302" s="28"/>
      <c r="J302" s="33" t="str">
        <f t="shared" si="10"/>
        <v>-030-039-044-046-053-067-084-090-095-097-098-135-250-258-281-320-322-328-358-383-415-422-502-554-578-650-</v>
      </c>
      <c r="K302" s="33" t="str">
        <f t="shared" si="11"/>
        <v/>
      </c>
      <c r="L302" s="7"/>
      <c r="M302" s="8"/>
      <c r="N302" s="9"/>
    </row>
    <row r="303" spans="1:14" ht="112.5" x14ac:dyDescent="0.35">
      <c r="A303" s="20"/>
      <c r="B303" s="22"/>
      <c r="C303" s="22"/>
      <c r="D303" s="20"/>
      <c r="E303" s="20"/>
      <c r="F303" s="24"/>
      <c r="G303" s="24"/>
      <c r="H303" s="16"/>
      <c r="I303" s="28"/>
      <c r="J303" s="33" t="str">
        <f t="shared" si="10"/>
        <v>-030-039-044-046-053-067-084-090-095-097-098-135-250-258-281-320-322-328-358-383-415-422-502-554-578-650-</v>
      </c>
      <c r="K303" s="33" t="str">
        <f t="shared" si="11"/>
        <v/>
      </c>
      <c r="L303" s="7"/>
      <c r="M303" s="8"/>
      <c r="N303" s="9"/>
    </row>
    <row r="304" spans="1:14" ht="112.5" x14ac:dyDescent="0.35">
      <c r="A304" s="20"/>
      <c r="B304" s="22"/>
      <c r="C304" s="22"/>
      <c r="D304" s="20"/>
      <c r="E304" s="20"/>
      <c r="F304" s="24"/>
      <c r="G304" s="24"/>
      <c r="H304" s="16"/>
      <c r="I304" s="28"/>
      <c r="J304" s="33" t="str">
        <f t="shared" si="10"/>
        <v>-030-039-044-046-053-067-084-090-095-097-098-135-250-258-281-320-322-328-358-383-415-422-502-554-578-650-</v>
      </c>
      <c r="K304" s="33" t="str">
        <f t="shared" si="11"/>
        <v/>
      </c>
      <c r="L304" s="7"/>
      <c r="M304" s="8"/>
      <c r="N304" s="9"/>
    </row>
    <row r="305" spans="1:14" ht="14.5" customHeight="1" x14ac:dyDescent="0.35">
      <c r="A305" s="20" t="s">
        <v>153</v>
      </c>
      <c r="B305" s="22" t="s">
        <v>344</v>
      </c>
      <c r="C305" s="22" t="s">
        <v>313</v>
      </c>
      <c r="D305" s="20"/>
      <c r="E305" s="20" t="s">
        <v>345</v>
      </c>
      <c r="F305" s="23" t="s">
        <v>346</v>
      </c>
      <c r="G305" s="23"/>
      <c r="H305" s="16" t="s">
        <v>69</v>
      </c>
      <c r="I305" s="28" t="s">
        <v>12</v>
      </c>
      <c r="J305" s="33" t="str">
        <f t="shared" si="10"/>
        <v>-030-039-044-046-053-067-084-090-095-097-098-135-250-258-281-320-322-328-358-383-415-422-502-554-578-650-</v>
      </c>
      <c r="K305" s="33" t="str">
        <f t="shared" si="11"/>
        <v>x</v>
      </c>
      <c r="L305" s="7">
        <v>738950</v>
      </c>
      <c r="M305" s="8" t="s">
        <v>303</v>
      </c>
      <c r="N305" s="9" t="s">
        <v>347</v>
      </c>
    </row>
    <row r="306" spans="1:14" ht="14.5" customHeight="1" x14ac:dyDescent="0.35">
      <c r="A306" s="20"/>
      <c r="B306" s="22"/>
      <c r="C306" s="22"/>
      <c r="D306" s="20"/>
      <c r="E306" s="20"/>
      <c r="F306" s="24"/>
      <c r="G306" s="24"/>
      <c r="H306" s="16"/>
      <c r="I306" s="28"/>
      <c r="J306" s="33" t="str">
        <f t="shared" si="10"/>
        <v>-030-039-044-046-053-067-084-090-095-097-098-135-250-258-281-320-322-328-358-383-415-422-502-554-578-650-</v>
      </c>
      <c r="K306" s="33" t="str">
        <f t="shared" si="11"/>
        <v>x</v>
      </c>
      <c r="L306" s="7">
        <v>1628273</v>
      </c>
      <c r="M306" s="8" t="s">
        <v>304</v>
      </c>
      <c r="N306" s="9" t="s">
        <v>347</v>
      </c>
    </row>
    <row r="307" spans="1:14" ht="14.5" customHeight="1" x14ac:dyDescent="0.35">
      <c r="A307" s="20"/>
      <c r="B307" s="22"/>
      <c r="C307" s="22"/>
      <c r="D307" s="20"/>
      <c r="E307" s="20"/>
      <c r="F307" s="24"/>
      <c r="G307" s="24"/>
      <c r="H307" s="16"/>
      <c r="I307" s="28"/>
      <c r="J307" s="33" t="str">
        <f t="shared" si="10"/>
        <v>-030-039-044-046-053-067-084-090-095-097-098-135-250-258-281-320-322-328-358-383-415-422-502-554-578-650-</v>
      </c>
      <c r="K307" s="33" t="str">
        <f t="shared" si="11"/>
        <v>x</v>
      </c>
      <c r="L307" s="7">
        <v>667880</v>
      </c>
      <c r="M307" s="8" t="s">
        <v>305</v>
      </c>
      <c r="N307" s="9" t="s">
        <v>347</v>
      </c>
    </row>
    <row r="308" spans="1:14" ht="112.5" x14ac:dyDescent="0.35">
      <c r="A308" s="20"/>
      <c r="B308" s="22"/>
      <c r="C308" s="22"/>
      <c r="D308" s="20"/>
      <c r="E308" s="20"/>
      <c r="F308" s="24"/>
      <c r="G308" s="24"/>
      <c r="H308" s="16"/>
      <c r="I308" s="28"/>
      <c r="J308" s="33" t="str">
        <f t="shared" si="10"/>
        <v>-030-039-044-046-053-067-084-090-095-097-098-135-250-258-281-320-322-328-358-383-415-422-502-554-578-650-</v>
      </c>
      <c r="K308" s="33" t="str">
        <f t="shared" si="11"/>
        <v>x</v>
      </c>
      <c r="L308" s="7">
        <v>3333787</v>
      </c>
      <c r="M308" s="8" t="s">
        <v>306</v>
      </c>
      <c r="N308" s="9" t="s">
        <v>347</v>
      </c>
    </row>
    <row r="309" spans="1:14" ht="112.5" x14ac:dyDescent="0.35">
      <c r="A309" s="20"/>
      <c r="B309" s="22"/>
      <c r="C309" s="22"/>
      <c r="D309" s="20"/>
      <c r="E309" s="20"/>
      <c r="F309" s="24"/>
      <c r="G309" s="24"/>
      <c r="H309" s="16"/>
      <c r="I309" s="28"/>
      <c r="J309" s="33" t="str">
        <f t="shared" si="10"/>
        <v>-030-039-044-046-053-067-084-090-095-097-098-135-250-258-281-320-322-328-358-383-415-422-502-554-578-650-</v>
      </c>
      <c r="K309" s="33" t="str">
        <f t="shared" si="11"/>
        <v>x</v>
      </c>
      <c r="L309" s="7">
        <v>1655014</v>
      </c>
      <c r="M309" s="8" t="s">
        <v>307</v>
      </c>
      <c r="N309" s="9" t="s">
        <v>347</v>
      </c>
    </row>
    <row r="310" spans="1:14" ht="112.5" x14ac:dyDescent="0.35">
      <c r="A310" s="20"/>
      <c r="B310" s="22"/>
      <c r="C310" s="22"/>
      <c r="D310" s="20"/>
      <c r="E310" s="20"/>
      <c r="F310" s="24"/>
      <c r="G310" s="24"/>
      <c r="H310" s="16"/>
      <c r="I310" s="28"/>
      <c r="J310" s="33" t="str">
        <f t="shared" si="10"/>
        <v>-030-039-044-046-053-067-084-090-095-097-098-135-250-258-281-320-322-328-358-383-415-422-502-554-578-650-</v>
      </c>
      <c r="K310" s="33" t="str">
        <f t="shared" si="11"/>
        <v>x</v>
      </c>
      <c r="L310" s="7">
        <v>1655015</v>
      </c>
      <c r="M310" s="8" t="s">
        <v>308</v>
      </c>
      <c r="N310" s="9" t="s">
        <v>347</v>
      </c>
    </row>
    <row r="311" spans="1:14" ht="112.5" x14ac:dyDescent="0.35">
      <c r="A311" s="20"/>
      <c r="B311" s="22"/>
      <c r="C311" s="22"/>
      <c r="D311" s="20"/>
      <c r="E311" s="20"/>
      <c r="F311" s="24"/>
      <c r="G311" s="24"/>
      <c r="H311" s="16"/>
      <c r="I311" s="28"/>
      <c r="J311" s="33" t="str">
        <f t="shared" si="10"/>
        <v>-030-039-044-046-053-067-084-090-095-097-098-135-250-258-281-320-322-328-358-383-415-422-502-554-578-650-</v>
      </c>
      <c r="K311" s="33" t="str">
        <f t="shared" si="11"/>
        <v>x</v>
      </c>
      <c r="L311" s="7">
        <v>3031648</v>
      </c>
      <c r="M311" s="8" t="s">
        <v>309</v>
      </c>
      <c r="N311" s="9" t="s">
        <v>347</v>
      </c>
    </row>
    <row r="312" spans="1:14" ht="112.5" x14ac:dyDescent="0.35">
      <c r="A312" s="20"/>
      <c r="B312" s="22"/>
      <c r="C312" s="22"/>
      <c r="D312" s="20"/>
      <c r="E312" s="20"/>
      <c r="F312" s="24"/>
      <c r="G312" s="24"/>
      <c r="H312" s="16"/>
      <c r="I312" s="28"/>
      <c r="J312" s="33" t="str">
        <f t="shared" si="10"/>
        <v>-030-039-044-046-053-067-084-090-095-097-098-135-250-258-281-320-322-328-358-383-415-422-502-554-578-650-</v>
      </c>
      <c r="K312" s="33" t="str">
        <f t="shared" si="11"/>
        <v>x</v>
      </c>
      <c r="L312" s="7">
        <v>3385360</v>
      </c>
      <c r="M312" s="8" t="s">
        <v>310</v>
      </c>
      <c r="N312" s="9" t="s">
        <v>347</v>
      </c>
    </row>
    <row r="313" spans="1:14" ht="112.5" x14ac:dyDescent="0.35">
      <c r="A313" s="20"/>
      <c r="B313" s="22"/>
      <c r="C313" s="22"/>
      <c r="D313" s="20"/>
      <c r="E313" s="20"/>
      <c r="F313" s="24"/>
      <c r="G313" s="24"/>
      <c r="H313" s="16"/>
      <c r="I313" s="28"/>
      <c r="J313" s="33" t="str">
        <f t="shared" si="10"/>
        <v>-030-039-044-046-053-067-084-090-095-097-098-135-250-258-281-320-322-328-358-383-415-422-502-554-578-650-</v>
      </c>
      <c r="K313" s="33" t="str">
        <f t="shared" si="11"/>
        <v>x</v>
      </c>
      <c r="L313" s="7">
        <v>3528166</v>
      </c>
      <c r="M313" s="8" t="s">
        <v>311</v>
      </c>
      <c r="N313" s="9" t="s">
        <v>347</v>
      </c>
    </row>
    <row r="314" spans="1:14" ht="112.5" x14ac:dyDescent="0.35">
      <c r="A314" s="20"/>
      <c r="B314" s="22"/>
      <c r="C314" s="22"/>
      <c r="D314" s="20"/>
      <c r="E314" s="20"/>
      <c r="F314" s="24"/>
      <c r="G314" s="24"/>
      <c r="H314" s="16"/>
      <c r="I314" s="28"/>
      <c r="J314" s="33" t="str">
        <f t="shared" si="10"/>
        <v>-030-039-044-046-053-067-084-090-095-097-098-135-250-258-281-320-322-328-358-383-415-422-502-554-578-650-</v>
      </c>
      <c r="K314" s="33" t="str">
        <f t="shared" si="11"/>
        <v>x</v>
      </c>
      <c r="L314" s="7">
        <v>3404188</v>
      </c>
      <c r="M314" s="8" t="s">
        <v>312</v>
      </c>
      <c r="N314" s="9" t="s">
        <v>347</v>
      </c>
    </row>
    <row r="315" spans="1:14" ht="112.5" x14ac:dyDescent="0.35">
      <c r="A315" s="20"/>
      <c r="B315" s="22"/>
      <c r="C315" s="22"/>
      <c r="D315" s="20"/>
      <c r="E315" s="20"/>
      <c r="F315" s="24"/>
      <c r="G315" s="24"/>
      <c r="H315" s="16"/>
      <c r="I315" s="28"/>
      <c r="J315" s="33" t="str">
        <f t="shared" si="10"/>
        <v>-030-039-044-046-053-067-084-090-095-097-098-135-250-258-281-320-322-328-358-383-415-422-502-554-578-650-</v>
      </c>
      <c r="K315" s="33" t="str">
        <f t="shared" si="11"/>
        <v/>
      </c>
      <c r="L315" s="7"/>
      <c r="M315" s="8"/>
      <c r="N315" s="9"/>
    </row>
    <row r="316" spans="1:14" ht="112.5" x14ac:dyDescent="0.35">
      <c r="A316" s="20"/>
      <c r="B316" s="22"/>
      <c r="C316" s="22"/>
      <c r="D316" s="20"/>
      <c r="E316" s="20"/>
      <c r="F316" s="24"/>
      <c r="G316" s="24"/>
      <c r="H316" s="16"/>
      <c r="I316" s="28"/>
      <c r="J316" s="33" t="str">
        <f t="shared" si="10"/>
        <v>-030-039-044-046-053-067-084-090-095-097-098-135-250-258-281-320-322-328-358-383-415-422-502-554-578-650-</v>
      </c>
      <c r="K316" s="33" t="str">
        <f t="shared" si="11"/>
        <v/>
      </c>
      <c r="L316" s="7"/>
      <c r="M316" s="8"/>
      <c r="N316" s="9"/>
    </row>
    <row r="317" spans="1:14" ht="112.5" x14ac:dyDescent="0.35">
      <c r="A317" s="20"/>
      <c r="B317" s="22"/>
      <c r="C317" s="22"/>
      <c r="D317" s="20"/>
      <c r="E317" s="20"/>
      <c r="F317" s="24"/>
      <c r="G317" s="24"/>
      <c r="H317" s="16"/>
      <c r="I317" s="28"/>
      <c r="J317" s="33" t="str">
        <f t="shared" si="10"/>
        <v>-030-039-044-046-053-067-084-090-095-097-098-135-250-258-281-320-322-328-358-383-415-422-502-554-578-650-</v>
      </c>
      <c r="K317" s="33" t="str">
        <f t="shared" si="11"/>
        <v/>
      </c>
      <c r="L317" s="7"/>
      <c r="M317" s="8"/>
      <c r="N317" s="9"/>
    </row>
    <row r="318" spans="1:14" ht="112.5" x14ac:dyDescent="0.35">
      <c r="A318" s="20"/>
      <c r="B318" s="22"/>
      <c r="C318" s="22"/>
      <c r="D318" s="20"/>
      <c r="E318" s="20"/>
      <c r="F318" s="24"/>
      <c r="G318" s="24"/>
      <c r="H318" s="16"/>
      <c r="I318" s="28"/>
      <c r="J318" s="33" t="str">
        <f t="shared" si="10"/>
        <v>-030-039-044-046-053-067-084-090-095-097-098-135-250-258-281-320-322-328-358-383-415-422-502-554-578-650-</v>
      </c>
      <c r="K318" s="33" t="str">
        <f t="shared" si="11"/>
        <v/>
      </c>
      <c r="L318" s="7"/>
      <c r="M318" s="8"/>
      <c r="N318" s="9"/>
    </row>
    <row r="319" spans="1:14" ht="262.5" x14ac:dyDescent="0.35">
      <c r="A319" s="16">
        <v>406</v>
      </c>
      <c r="B319" s="25" t="s">
        <v>344</v>
      </c>
      <c r="C319" s="26" t="s">
        <v>337</v>
      </c>
      <c r="D319" s="16"/>
      <c r="E319" s="25" t="s">
        <v>345</v>
      </c>
      <c r="F319" s="27" t="s">
        <v>346</v>
      </c>
      <c r="G319" s="27"/>
      <c r="H319" s="16" t="s">
        <v>36</v>
      </c>
      <c r="I319" s="19" t="s">
        <v>37</v>
      </c>
      <c r="J319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19" s="33" t="str">
        <f t="shared" si="11"/>
        <v>x</v>
      </c>
      <c r="L319" s="7">
        <v>3513938</v>
      </c>
      <c r="M319" s="8" t="s">
        <v>338</v>
      </c>
      <c r="N319" s="9" t="s">
        <v>347</v>
      </c>
    </row>
    <row r="320" spans="1:14" ht="262.5" x14ac:dyDescent="0.35">
      <c r="A320" s="16"/>
      <c r="B320" s="25"/>
      <c r="C320" s="26"/>
      <c r="D320" s="16"/>
      <c r="E320" s="25"/>
      <c r="F320" s="19"/>
      <c r="G320" s="19"/>
      <c r="H320" s="16"/>
      <c r="I320" s="19"/>
      <c r="J320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0" s="33" t="str">
        <f t="shared" si="11"/>
        <v>x</v>
      </c>
      <c r="L320" s="7">
        <v>55858</v>
      </c>
      <c r="M320" s="8" t="s">
        <v>339</v>
      </c>
      <c r="N320" s="9" t="s">
        <v>347</v>
      </c>
    </row>
    <row r="321" spans="1:14" ht="262.5" x14ac:dyDescent="0.35">
      <c r="A321" s="16"/>
      <c r="B321" s="25"/>
      <c r="C321" s="26"/>
      <c r="D321" s="16"/>
      <c r="E321" s="25"/>
      <c r="F321" s="19"/>
      <c r="G321" s="19"/>
      <c r="H321" s="16"/>
      <c r="I321" s="19"/>
      <c r="J321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1" s="33" t="str">
        <f t="shared" si="11"/>
        <v>x</v>
      </c>
      <c r="L321" s="7">
        <v>89778</v>
      </c>
      <c r="M321" s="8" t="s">
        <v>340</v>
      </c>
      <c r="N321" s="9" t="s">
        <v>347</v>
      </c>
    </row>
    <row r="322" spans="1:14" ht="262.5" x14ac:dyDescent="0.35">
      <c r="A322" s="16"/>
      <c r="B322" s="25"/>
      <c r="C322" s="26"/>
      <c r="D322" s="16"/>
      <c r="E322" s="25"/>
      <c r="F322" s="19"/>
      <c r="G322" s="19"/>
      <c r="H322" s="16"/>
      <c r="I322" s="19"/>
      <c r="J322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2" s="33" t="str">
        <f t="shared" si="11"/>
        <v/>
      </c>
      <c r="L322" s="7"/>
      <c r="M322" s="8"/>
      <c r="N322" s="9"/>
    </row>
    <row r="323" spans="1:14" ht="262.5" x14ac:dyDescent="0.35">
      <c r="A323" s="16"/>
      <c r="B323" s="25"/>
      <c r="C323" s="26"/>
      <c r="D323" s="16"/>
      <c r="E323" s="25"/>
      <c r="F323" s="19"/>
      <c r="G323" s="19"/>
      <c r="H323" s="16"/>
      <c r="I323" s="19"/>
      <c r="J323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3" s="33" t="str">
        <f t="shared" si="11"/>
        <v/>
      </c>
      <c r="L323" s="7"/>
      <c r="M323" s="8"/>
      <c r="N323" s="9"/>
    </row>
    <row r="324" spans="1:14" ht="262.5" x14ac:dyDescent="0.35">
      <c r="A324" s="16"/>
      <c r="B324" s="25"/>
      <c r="C324" s="26"/>
      <c r="D324" s="16"/>
      <c r="E324" s="25"/>
      <c r="F324" s="19"/>
      <c r="G324" s="19"/>
      <c r="H324" s="16"/>
      <c r="I324" s="19"/>
      <c r="J324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4" s="33" t="str">
        <f t="shared" si="11"/>
        <v/>
      </c>
      <c r="L324" s="7"/>
      <c r="M324" s="8"/>
      <c r="N324" s="9"/>
    </row>
    <row r="325" spans="1:14" ht="262.5" x14ac:dyDescent="0.35">
      <c r="A325" s="16"/>
      <c r="B325" s="25"/>
      <c r="C325" s="26"/>
      <c r="D325" s="16"/>
      <c r="E325" s="25"/>
      <c r="F325" s="19"/>
      <c r="G325" s="19"/>
      <c r="H325" s="16"/>
      <c r="I325" s="19"/>
      <c r="J325" s="33" t="str">
        <f t="shared" si="10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5" s="33" t="str">
        <f t="shared" si="11"/>
        <v/>
      </c>
      <c r="L325" s="7"/>
      <c r="M325" s="8"/>
      <c r="N325" s="9"/>
    </row>
    <row r="326" spans="1:14" ht="262.5" x14ac:dyDescent="0.35">
      <c r="A326" s="16"/>
      <c r="B326" s="25"/>
      <c r="C326" s="26"/>
      <c r="D326" s="16"/>
      <c r="E326" s="25"/>
      <c r="F326" s="19"/>
      <c r="G326" s="19"/>
      <c r="H326" s="16"/>
      <c r="I326" s="19"/>
      <c r="J326" s="33" t="str">
        <f t="shared" ref="J326:J389" si="12">IF(I326&lt;&gt;"","-"&amp;I326&amp;"-",J325)</f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6" s="33" t="str">
        <f t="shared" ref="K326:K389" si="13">IF(L326="","",IF(J326="TODOS ÉXITO A NIVEL NACIONAL-","x",IFERROR(IF(VALUE(IF(L326="","",FIND($AJ$2,J326,1)))&lt;&gt;"","x",""),"")))</f>
        <v/>
      </c>
      <c r="L326" s="7"/>
      <c r="M326" s="8"/>
      <c r="N326" s="9"/>
    </row>
    <row r="327" spans="1:14" ht="262.5" x14ac:dyDescent="0.35">
      <c r="A327" s="16"/>
      <c r="B327" s="25"/>
      <c r="C327" s="26"/>
      <c r="D327" s="16"/>
      <c r="E327" s="25"/>
      <c r="F327" s="19"/>
      <c r="G327" s="19"/>
      <c r="H327" s="16"/>
      <c r="I327" s="19"/>
      <c r="J327" s="33" t="str">
        <f t="shared" si="1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7" s="33" t="str">
        <f t="shared" si="13"/>
        <v/>
      </c>
      <c r="L327" s="7"/>
      <c r="M327" s="8"/>
      <c r="N327" s="9"/>
    </row>
    <row r="328" spans="1:14" ht="262.5" x14ac:dyDescent="0.35">
      <c r="A328" s="16"/>
      <c r="B328" s="25"/>
      <c r="C328" s="26"/>
      <c r="D328" s="16"/>
      <c r="E328" s="25"/>
      <c r="F328" s="19"/>
      <c r="G328" s="19"/>
      <c r="H328" s="16"/>
      <c r="I328" s="19"/>
      <c r="J328" s="33" t="str">
        <f t="shared" si="1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8" s="33" t="str">
        <f t="shared" si="13"/>
        <v/>
      </c>
      <c r="L328" s="7"/>
      <c r="M328" s="8"/>
      <c r="N328" s="9"/>
    </row>
    <row r="329" spans="1:14" ht="262.5" x14ac:dyDescent="0.35">
      <c r="A329" s="16"/>
      <c r="B329" s="25"/>
      <c r="C329" s="26"/>
      <c r="D329" s="16"/>
      <c r="E329" s="25"/>
      <c r="F329" s="19"/>
      <c r="G329" s="19"/>
      <c r="H329" s="16"/>
      <c r="I329" s="19"/>
      <c r="J329" s="33" t="str">
        <f t="shared" si="12"/>
        <v>-030-031-033-043-044-047-053-054-058-067-075-082-083-084-086-088-089-090-093-095-097-098-135-157-171-173-175-250-257-258-265-266-281-283-284-302-303-328-352-355-356-358-362-364-366-368-369-370-371-376-378-383-385-408-409-422-502-512-554-578-603-628-650-</v>
      </c>
      <c r="K329" s="33" t="str">
        <f t="shared" si="13"/>
        <v/>
      </c>
      <c r="L329" s="7"/>
      <c r="M329" s="8"/>
      <c r="N329" s="9"/>
    </row>
    <row r="330" spans="1:14" ht="14.5" customHeight="1" x14ac:dyDescent="0.35">
      <c r="A330" s="20" t="s">
        <v>153</v>
      </c>
      <c r="B330" s="22" t="s">
        <v>344</v>
      </c>
      <c r="C330" s="22" t="s">
        <v>34</v>
      </c>
      <c r="D330" s="20"/>
      <c r="E330" s="20" t="s">
        <v>345</v>
      </c>
      <c r="F330" s="23" t="s">
        <v>346</v>
      </c>
      <c r="G330" s="23"/>
      <c r="H330" s="16" t="s">
        <v>69</v>
      </c>
      <c r="I330" s="28" t="s">
        <v>12</v>
      </c>
      <c r="J330" s="33" t="str">
        <f t="shared" si="12"/>
        <v>-030-039-044-046-053-067-084-090-095-097-098-135-250-258-281-320-322-328-358-383-415-422-502-554-578-650-</v>
      </c>
      <c r="K330" s="33" t="str">
        <f t="shared" si="13"/>
        <v>x</v>
      </c>
      <c r="L330" s="7">
        <v>1786061</v>
      </c>
      <c r="M330" s="8" t="s">
        <v>35</v>
      </c>
      <c r="N330" s="9" t="s">
        <v>347</v>
      </c>
    </row>
    <row r="331" spans="1:14" ht="14.5" customHeight="1" x14ac:dyDescent="0.35">
      <c r="A331" s="20"/>
      <c r="B331" s="22"/>
      <c r="C331" s="22"/>
      <c r="D331" s="20"/>
      <c r="E331" s="20"/>
      <c r="F331" s="24"/>
      <c r="G331" s="24"/>
      <c r="H331" s="16"/>
      <c r="I331" s="28"/>
      <c r="J331" s="33" t="str">
        <f t="shared" si="12"/>
        <v>-030-039-044-046-053-067-084-090-095-097-098-135-250-258-281-320-322-328-358-383-415-422-502-554-578-650-</v>
      </c>
      <c r="K331" s="33" t="str">
        <f t="shared" si="13"/>
        <v>x</v>
      </c>
      <c r="L331" s="7">
        <v>3024525</v>
      </c>
      <c r="M331" s="8" t="s">
        <v>341</v>
      </c>
      <c r="N331" s="9" t="s">
        <v>359</v>
      </c>
    </row>
    <row r="332" spans="1:14" ht="14.5" customHeight="1" x14ac:dyDescent="0.35">
      <c r="A332" s="20"/>
      <c r="B332" s="22"/>
      <c r="C332" s="22"/>
      <c r="D332" s="20"/>
      <c r="E332" s="20"/>
      <c r="F332" s="24"/>
      <c r="G332" s="24"/>
      <c r="H332" s="16"/>
      <c r="I332" s="28"/>
      <c r="J332" s="33" t="str">
        <f t="shared" si="12"/>
        <v>-030-039-044-046-053-067-084-090-095-097-098-135-250-258-281-320-322-328-358-383-415-422-502-554-578-650-</v>
      </c>
      <c r="K332" s="33" t="str">
        <f t="shared" si="13"/>
        <v>x</v>
      </c>
      <c r="L332" s="7">
        <v>3480812</v>
      </c>
      <c r="M332" s="8" t="s">
        <v>342</v>
      </c>
      <c r="N332" s="9" t="s">
        <v>359</v>
      </c>
    </row>
    <row r="333" spans="1:14" ht="112.5" x14ac:dyDescent="0.35">
      <c r="A333" s="20"/>
      <c r="B333" s="22"/>
      <c r="C333" s="22"/>
      <c r="D333" s="20"/>
      <c r="E333" s="20"/>
      <c r="F333" s="24"/>
      <c r="G333" s="24"/>
      <c r="H333" s="16"/>
      <c r="I333" s="28"/>
      <c r="J333" s="33" t="str">
        <f t="shared" si="12"/>
        <v>-030-039-044-046-053-067-084-090-095-097-098-135-250-258-281-320-322-328-358-383-415-422-502-554-578-650-</v>
      </c>
      <c r="K333" s="33" t="str">
        <f t="shared" si="13"/>
        <v>x</v>
      </c>
      <c r="L333" s="7">
        <v>3588050</v>
      </c>
      <c r="M333" s="8" t="s">
        <v>343</v>
      </c>
      <c r="N333" s="9" t="s">
        <v>347</v>
      </c>
    </row>
    <row r="334" spans="1:14" ht="112.5" x14ac:dyDescent="0.35">
      <c r="A334" s="20"/>
      <c r="B334" s="22"/>
      <c r="C334" s="22"/>
      <c r="D334" s="20"/>
      <c r="E334" s="20"/>
      <c r="F334" s="24"/>
      <c r="G334" s="24"/>
      <c r="H334" s="16"/>
      <c r="I334" s="28"/>
      <c r="J334" s="33" t="str">
        <f t="shared" si="12"/>
        <v>-030-039-044-046-053-067-084-090-095-097-098-135-250-258-281-320-322-328-358-383-415-422-502-554-578-650-</v>
      </c>
      <c r="K334" s="33" t="str">
        <f t="shared" si="13"/>
        <v/>
      </c>
      <c r="L334" s="7"/>
      <c r="M334" s="8"/>
      <c r="N334" s="9"/>
    </row>
    <row r="335" spans="1:14" ht="112.5" x14ac:dyDescent="0.35">
      <c r="A335" s="20"/>
      <c r="B335" s="22"/>
      <c r="C335" s="22"/>
      <c r="D335" s="20"/>
      <c r="E335" s="20"/>
      <c r="F335" s="24"/>
      <c r="G335" s="24"/>
      <c r="H335" s="16"/>
      <c r="I335" s="28"/>
      <c r="J335" s="33" t="str">
        <f t="shared" si="12"/>
        <v>-030-039-044-046-053-067-084-090-095-097-098-135-250-258-281-320-322-328-358-383-415-422-502-554-578-650-</v>
      </c>
      <c r="K335" s="33" t="str">
        <f t="shared" si="13"/>
        <v/>
      </c>
      <c r="L335" s="7"/>
      <c r="M335" s="8"/>
      <c r="N335" s="9"/>
    </row>
    <row r="336" spans="1:14" ht="112.5" x14ac:dyDescent="0.35">
      <c r="A336" s="20"/>
      <c r="B336" s="22"/>
      <c r="C336" s="22"/>
      <c r="D336" s="20"/>
      <c r="E336" s="20"/>
      <c r="F336" s="24"/>
      <c r="G336" s="24"/>
      <c r="H336" s="16"/>
      <c r="I336" s="28"/>
      <c r="J336" s="33" t="str">
        <f t="shared" si="12"/>
        <v>-030-039-044-046-053-067-084-090-095-097-098-135-250-258-281-320-322-328-358-383-415-422-502-554-578-650-</v>
      </c>
      <c r="K336" s="33" t="str">
        <f t="shared" si="13"/>
        <v/>
      </c>
      <c r="L336" s="7"/>
      <c r="M336" s="8"/>
      <c r="N336" s="9"/>
    </row>
    <row r="337" spans="1:14" ht="112.5" x14ac:dyDescent="0.35">
      <c r="A337" s="20"/>
      <c r="B337" s="22"/>
      <c r="C337" s="22"/>
      <c r="D337" s="20"/>
      <c r="E337" s="20"/>
      <c r="F337" s="24"/>
      <c r="G337" s="24"/>
      <c r="H337" s="16"/>
      <c r="I337" s="28"/>
      <c r="J337" s="33" t="str">
        <f t="shared" si="12"/>
        <v>-030-039-044-046-053-067-084-090-095-097-098-135-250-258-281-320-322-328-358-383-415-422-502-554-578-650-</v>
      </c>
      <c r="K337" s="33" t="str">
        <f t="shared" si="13"/>
        <v/>
      </c>
      <c r="L337" s="7"/>
      <c r="M337" s="8"/>
      <c r="N337" s="9"/>
    </row>
    <row r="338" spans="1:14" ht="262.5" x14ac:dyDescent="0.35">
      <c r="A338" s="16">
        <v>95</v>
      </c>
      <c r="B338" s="25" t="s">
        <v>344</v>
      </c>
      <c r="C338" s="26" t="s">
        <v>82</v>
      </c>
      <c r="D338" s="16"/>
      <c r="E338" s="25" t="s">
        <v>345</v>
      </c>
      <c r="F338" s="27" t="s">
        <v>346</v>
      </c>
      <c r="G338" s="27"/>
      <c r="H338" s="16" t="s">
        <v>15</v>
      </c>
      <c r="I338" s="19" t="s">
        <v>16</v>
      </c>
      <c r="J338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38" s="33" t="str">
        <f t="shared" si="13"/>
        <v/>
      </c>
      <c r="L338" s="7">
        <v>102016</v>
      </c>
      <c r="M338" s="8" t="s">
        <v>85</v>
      </c>
      <c r="N338" s="9" t="s">
        <v>355</v>
      </c>
    </row>
    <row r="339" spans="1:14" ht="262.5" x14ac:dyDescent="0.35">
      <c r="A339" s="16"/>
      <c r="B339" s="25"/>
      <c r="C339" s="26"/>
      <c r="D339" s="16"/>
      <c r="E339" s="25"/>
      <c r="F339" s="19"/>
      <c r="G339" s="19"/>
      <c r="H339" s="16"/>
      <c r="I339" s="19"/>
      <c r="J339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39" s="33" t="str">
        <f t="shared" si="13"/>
        <v/>
      </c>
      <c r="L339" s="7">
        <v>3479504</v>
      </c>
      <c r="M339" s="8" t="s">
        <v>87</v>
      </c>
      <c r="N339" s="9" t="s">
        <v>38</v>
      </c>
    </row>
    <row r="340" spans="1:14" ht="262.5" x14ac:dyDescent="0.35">
      <c r="A340" s="16"/>
      <c r="B340" s="25"/>
      <c r="C340" s="26"/>
      <c r="D340" s="16"/>
      <c r="E340" s="25"/>
      <c r="F340" s="19"/>
      <c r="G340" s="19"/>
      <c r="H340" s="16"/>
      <c r="I340" s="19"/>
      <c r="J340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0" s="33" t="str">
        <f t="shared" si="13"/>
        <v/>
      </c>
      <c r="L340" s="7">
        <v>122021</v>
      </c>
      <c r="M340" s="8" t="s">
        <v>90</v>
      </c>
      <c r="N340" s="9" t="s">
        <v>38</v>
      </c>
    </row>
    <row r="341" spans="1:14" ht="262.5" x14ac:dyDescent="0.35">
      <c r="A341" s="16"/>
      <c r="B341" s="25"/>
      <c r="C341" s="26"/>
      <c r="D341" s="16"/>
      <c r="E341" s="25"/>
      <c r="F341" s="19"/>
      <c r="G341" s="19"/>
      <c r="H341" s="16"/>
      <c r="I341" s="19"/>
      <c r="J341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1" s="33" t="str">
        <f t="shared" si="13"/>
        <v/>
      </c>
      <c r="L341" s="7"/>
      <c r="M341" s="8"/>
      <c r="N341" s="9"/>
    </row>
    <row r="342" spans="1:14" ht="262.5" x14ac:dyDescent="0.35">
      <c r="A342" s="16"/>
      <c r="B342" s="25"/>
      <c r="C342" s="26"/>
      <c r="D342" s="16"/>
      <c r="E342" s="25"/>
      <c r="F342" s="19"/>
      <c r="G342" s="19"/>
      <c r="H342" s="16"/>
      <c r="I342" s="19"/>
      <c r="J342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2" s="33" t="str">
        <f t="shared" si="13"/>
        <v/>
      </c>
      <c r="L342" s="7"/>
      <c r="M342" s="8"/>
      <c r="N342" s="9"/>
    </row>
    <row r="343" spans="1:14" ht="262.5" x14ac:dyDescent="0.35">
      <c r="A343" s="16"/>
      <c r="B343" s="25"/>
      <c r="C343" s="26"/>
      <c r="D343" s="16"/>
      <c r="E343" s="25"/>
      <c r="F343" s="19"/>
      <c r="G343" s="19"/>
      <c r="H343" s="16"/>
      <c r="I343" s="19"/>
      <c r="J343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3" s="33" t="str">
        <f t="shared" si="13"/>
        <v/>
      </c>
      <c r="L343" s="7"/>
      <c r="M343" s="8"/>
      <c r="N343" s="9"/>
    </row>
    <row r="344" spans="1:14" ht="262.5" x14ac:dyDescent="0.35">
      <c r="A344" s="16"/>
      <c r="B344" s="25"/>
      <c r="C344" s="26"/>
      <c r="D344" s="16"/>
      <c r="E344" s="25"/>
      <c r="F344" s="19"/>
      <c r="G344" s="19"/>
      <c r="H344" s="16"/>
      <c r="I344" s="19"/>
      <c r="J344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4" s="33" t="str">
        <f t="shared" si="13"/>
        <v/>
      </c>
      <c r="L344" s="7"/>
      <c r="M344" s="8"/>
      <c r="N344" s="9"/>
    </row>
    <row r="345" spans="1:14" ht="262.5" x14ac:dyDescent="0.35">
      <c r="A345" s="16"/>
      <c r="B345" s="25"/>
      <c r="C345" s="26"/>
      <c r="D345" s="16"/>
      <c r="E345" s="25"/>
      <c r="F345" s="19"/>
      <c r="G345" s="19"/>
      <c r="H345" s="16"/>
      <c r="I345" s="19"/>
      <c r="J345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5" s="33" t="str">
        <f t="shared" si="13"/>
        <v/>
      </c>
      <c r="L345" s="7"/>
      <c r="M345" s="8"/>
      <c r="N345" s="9"/>
    </row>
    <row r="346" spans="1:14" ht="262.5" x14ac:dyDescent="0.35">
      <c r="A346" s="16"/>
      <c r="B346" s="25"/>
      <c r="C346" s="26"/>
      <c r="D346" s="16"/>
      <c r="E346" s="25"/>
      <c r="F346" s="19"/>
      <c r="G346" s="19"/>
      <c r="H346" s="16"/>
      <c r="I346" s="19"/>
      <c r="J346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6" s="33" t="str">
        <f t="shared" si="13"/>
        <v/>
      </c>
      <c r="L346" s="7"/>
      <c r="M346" s="8"/>
      <c r="N346" s="9"/>
    </row>
    <row r="347" spans="1:14" ht="262.5" x14ac:dyDescent="0.35">
      <c r="A347" s="16"/>
      <c r="B347" s="25"/>
      <c r="C347" s="26"/>
      <c r="D347" s="16"/>
      <c r="E347" s="25"/>
      <c r="F347" s="19"/>
      <c r="G347" s="19"/>
      <c r="H347" s="16"/>
      <c r="I347" s="19"/>
      <c r="J347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7" s="33" t="str">
        <f t="shared" si="13"/>
        <v/>
      </c>
      <c r="L347" s="7"/>
      <c r="M347" s="8"/>
      <c r="N347" s="9"/>
    </row>
    <row r="348" spans="1:14" ht="262.5" x14ac:dyDescent="0.35">
      <c r="A348" s="16"/>
      <c r="B348" s="25"/>
      <c r="C348" s="26"/>
      <c r="D348" s="16"/>
      <c r="E348" s="25"/>
      <c r="F348" s="19"/>
      <c r="G348" s="19"/>
      <c r="H348" s="16"/>
      <c r="I348" s="19"/>
      <c r="J348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8" s="33" t="str">
        <f t="shared" si="13"/>
        <v/>
      </c>
      <c r="L348" s="7"/>
      <c r="M348" s="8"/>
      <c r="N348" s="9"/>
    </row>
    <row r="349" spans="1:14" ht="262.5" x14ac:dyDescent="0.35">
      <c r="A349" s="16"/>
      <c r="B349" s="25"/>
      <c r="C349" s="26"/>
      <c r="D349" s="16"/>
      <c r="E349" s="25"/>
      <c r="F349" s="19"/>
      <c r="G349" s="19"/>
      <c r="H349" s="16"/>
      <c r="I349" s="19"/>
      <c r="J349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49" s="33" t="str">
        <f t="shared" si="13"/>
        <v/>
      </c>
      <c r="L349" s="7"/>
      <c r="M349" s="8"/>
      <c r="N349" s="9"/>
    </row>
    <row r="350" spans="1:14" ht="125" x14ac:dyDescent="0.35">
      <c r="A350" s="16">
        <v>95</v>
      </c>
      <c r="B350" s="25" t="s">
        <v>344</v>
      </c>
      <c r="C350" s="26" t="s">
        <v>82</v>
      </c>
      <c r="D350" s="16"/>
      <c r="E350" s="25" t="s">
        <v>345</v>
      </c>
      <c r="F350" s="27" t="s">
        <v>346</v>
      </c>
      <c r="G350" s="27"/>
      <c r="H350" s="16" t="s">
        <v>17</v>
      </c>
      <c r="I350" s="19" t="s">
        <v>18</v>
      </c>
      <c r="J350" s="33" t="str">
        <f t="shared" si="12"/>
        <v>-030-039-044-051-082-084-090-093-095-096-097-098-171-180-250-283-322-325-328-330-356-384-409-415-420-444-514-580-4027-4029-</v>
      </c>
      <c r="K350" s="33" t="str">
        <f t="shared" si="13"/>
        <v>x</v>
      </c>
      <c r="L350" s="7">
        <v>113968</v>
      </c>
      <c r="M350" s="8" t="s">
        <v>84</v>
      </c>
      <c r="N350" s="9" t="s">
        <v>39</v>
      </c>
    </row>
    <row r="351" spans="1:14" ht="125" x14ac:dyDescent="0.35">
      <c r="A351" s="16"/>
      <c r="B351" s="25"/>
      <c r="C351" s="26"/>
      <c r="D351" s="16"/>
      <c r="E351" s="25"/>
      <c r="F351" s="19"/>
      <c r="G351" s="19"/>
      <c r="H351" s="16"/>
      <c r="I351" s="19"/>
      <c r="J351" s="33" t="str">
        <f t="shared" si="12"/>
        <v>-030-039-044-051-082-084-090-093-095-096-097-098-171-180-250-283-322-325-328-330-356-384-409-415-420-444-514-580-4027-4029-</v>
      </c>
      <c r="K351" s="33" t="str">
        <f t="shared" si="13"/>
        <v>x</v>
      </c>
      <c r="L351" s="7">
        <v>102016</v>
      </c>
      <c r="M351" s="8" t="s">
        <v>85</v>
      </c>
      <c r="N351" s="9" t="s">
        <v>355</v>
      </c>
    </row>
    <row r="352" spans="1:14" ht="125" x14ac:dyDescent="0.35">
      <c r="A352" s="16"/>
      <c r="B352" s="25"/>
      <c r="C352" s="26"/>
      <c r="D352" s="16"/>
      <c r="E352" s="25"/>
      <c r="F352" s="19"/>
      <c r="G352" s="19"/>
      <c r="H352" s="16"/>
      <c r="I352" s="19"/>
      <c r="J352" s="33" t="str">
        <f t="shared" si="12"/>
        <v>-030-039-044-051-082-084-090-093-095-096-097-098-171-180-250-283-322-325-328-330-356-384-409-415-420-444-514-580-4027-4029-</v>
      </c>
      <c r="K352" s="33" t="str">
        <f t="shared" si="13"/>
        <v>x</v>
      </c>
      <c r="L352" s="7">
        <v>449804</v>
      </c>
      <c r="M352" s="8" t="s">
        <v>86</v>
      </c>
      <c r="N352" s="9" t="s">
        <v>360</v>
      </c>
    </row>
    <row r="353" spans="1:14" ht="125" x14ac:dyDescent="0.35">
      <c r="A353" s="16"/>
      <c r="B353" s="25"/>
      <c r="C353" s="26"/>
      <c r="D353" s="16"/>
      <c r="E353" s="25"/>
      <c r="F353" s="19"/>
      <c r="G353" s="19"/>
      <c r="H353" s="16"/>
      <c r="I353" s="19"/>
      <c r="J353" s="33" t="str">
        <f t="shared" si="12"/>
        <v>-030-039-044-051-082-084-090-093-095-096-097-098-171-180-250-283-322-325-328-330-356-384-409-415-420-444-514-580-4027-4029-</v>
      </c>
      <c r="K353" s="33" t="str">
        <f t="shared" si="13"/>
        <v>x</v>
      </c>
      <c r="L353" s="7">
        <v>3479504</v>
      </c>
      <c r="M353" s="8" t="s">
        <v>87</v>
      </c>
      <c r="N353" s="9" t="s">
        <v>38</v>
      </c>
    </row>
    <row r="354" spans="1:14" ht="125" x14ac:dyDescent="0.35">
      <c r="A354" s="16"/>
      <c r="B354" s="25"/>
      <c r="C354" s="26"/>
      <c r="D354" s="16"/>
      <c r="E354" s="25"/>
      <c r="F354" s="19"/>
      <c r="G354" s="19"/>
      <c r="H354" s="16"/>
      <c r="I354" s="19"/>
      <c r="J354" s="33" t="str">
        <f t="shared" si="12"/>
        <v>-030-039-044-051-082-084-090-093-095-096-097-098-171-180-250-283-322-325-328-330-356-384-409-415-420-444-514-580-4027-4029-</v>
      </c>
      <c r="K354" s="33" t="str">
        <f t="shared" si="13"/>
        <v>x</v>
      </c>
      <c r="L354" s="7">
        <v>1570514</v>
      </c>
      <c r="M354" s="8" t="s">
        <v>88</v>
      </c>
      <c r="N354" s="9" t="s">
        <v>360</v>
      </c>
    </row>
    <row r="355" spans="1:14" ht="125" x14ac:dyDescent="0.35">
      <c r="A355" s="16"/>
      <c r="B355" s="25"/>
      <c r="C355" s="26"/>
      <c r="D355" s="16"/>
      <c r="E355" s="25"/>
      <c r="F355" s="19"/>
      <c r="G355" s="19"/>
      <c r="H355" s="16"/>
      <c r="I355" s="19"/>
      <c r="J355" s="33" t="str">
        <f t="shared" si="12"/>
        <v>-030-039-044-051-082-084-090-093-095-096-097-098-171-180-250-283-322-325-328-330-356-384-409-415-420-444-514-580-4027-4029-</v>
      </c>
      <c r="K355" s="33" t="str">
        <f t="shared" si="13"/>
        <v>x</v>
      </c>
      <c r="L355" s="7">
        <v>3042695</v>
      </c>
      <c r="M355" s="8" t="s">
        <v>89</v>
      </c>
      <c r="N355" s="9" t="s">
        <v>38</v>
      </c>
    </row>
    <row r="356" spans="1:14" ht="125" x14ac:dyDescent="0.35">
      <c r="A356" s="16"/>
      <c r="B356" s="25"/>
      <c r="C356" s="26"/>
      <c r="D356" s="16"/>
      <c r="E356" s="25"/>
      <c r="F356" s="19"/>
      <c r="G356" s="19"/>
      <c r="H356" s="16"/>
      <c r="I356" s="19"/>
      <c r="J356" s="33" t="str">
        <f t="shared" si="12"/>
        <v>-030-039-044-051-082-084-090-093-095-096-097-098-171-180-250-283-322-325-328-330-356-384-409-415-420-444-514-580-4027-4029-</v>
      </c>
      <c r="K356" s="33" t="str">
        <f t="shared" si="13"/>
        <v>x</v>
      </c>
      <c r="L356" s="7">
        <v>122021</v>
      </c>
      <c r="M356" s="8" t="s">
        <v>90</v>
      </c>
      <c r="N356" s="9" t="s">
        <v>38</v>
      </c>
    </row>
    <row r="357" spans="1:14" ht="125" x14ac:dyDescent="0.35">
      <c r="A357" s="16"/>
      <c r="B357" s="25"/>
      <c r="C357" s="26"/>
      <c r="D357" s="16"/>
      <c r="E357" s="25"/>
      <c r="F357" s="19"/>
      <c r="G357" s="19"/>
      <c r="H357" s="16"/>
      <c r="I357" s="19"/>
      <c r="J357" s="33" t="str">
        <f t="shared" si="12"/>
        <v>-030-039-044-051-082-084-090-093-095-096-097-098-171-180-250-283-322-325-328-330-356-384-409-415-420-444-514-580-4027-4029-</v>
      </c>
      <c r="K357" s="33" t="str">
        <f t="shared" si="13"/>
        <v/>
      </c>
      <c r="L357" s="7"/>
      <c r="M357" s="8"/>
      <c r="N357" s="9"/>
    </row>
    <row r="358" spans="1:14" ht="125" x14ac:dyDescent="0.35">
      <c r="A358" s="16"/>
      <c r="B358" s="25"/>
      <c r="C358" s="26"/>
      <c r="D358" s="16"/>
      <c r="E358" s="25"/>
      <c r="F358" s="19"/>
      <c r="G358" s="19"/>
      <c r="H358" s="16"/>
      <c r="I358" s="19"/>
      <c r="J358" s="33" t="str">
        <f t="shared" si="12"/>
        <v>-030-039-044-051-082-084-090-093-095-096-097-098-171-180-250-283-322-325-328-330-356-384-409-415-420-444-514-580-4027-4029-</v>
      </c>
      <c r="K358" s="33" t="str">
        <f t="shared" si="13"/>
        <v/>
      </c>
      <c r="L358" s="7"/>
      <c r="M358" s="8"/>
      <c r="N358" s="9"/>
    </row>
    <row r="359" spans="1:14" ht="125" x14ac:dyDescent="0.35">
      <c r="A359" s="16"/>
      <c r="B359" s="25"/>
      <c r="C359" s="26"/>
      <c r="D359" s="16"/>
      <c r="E359" s="25"/>
      <c r="F359" s="19"/>
      <c r="G359" s="19"/>
      <c r="H359" s="16"/>
      <c r="I359" s="19"/>
      <c r="J359" s="33" t="str">
        <f t="shared" si="12"/>
        <v>-030-039-044-051-082-084-090-093-095-096-097-098-171-180-250-283-322-325-328-330-356-384-409-415-420-444-514-580-4027-4029-</v>
      </c>
      <c r="K359" s="33" t="str">
        <f t="shared" si="13"/>
        <v/>
      </c>
      <c r="L359" s="7"/>
      <c r="M359" s="8"/>
      <c r="N359" s="9"/>
    </row>
    <row r="360" spans="1:14" ht="125" x14ac:dyDescent="0.35">
      <c r="A360" s="16"/>
      <c r="B360" s="25"/>
      <c r="C360" s="26"/>
      <c r="D360" s="16"/>
      <c r="E360" s="25"/>
      <c r="F360" s="19"/>
      <c r="G360" s="19"/>
      <c r="H360" s="16"/>
      <c r="I360" s="19"/>
      <c r="J360" s="33" t="str">
        <f t="shared" si="12"/>
        <v>-030-039-044-051-082-084-090-093-095-096-097-098-171-180-250-283-322-325-328-330-356-384-409-415-420-444-514-580-4027-4029-</v>
      </c>
      <c r="K360" s="33" t="str">
        <f t="shared" si="13"/>
        <v/>
      </c>
      <c r="L360" s="7"/>
      <c r="M360" s="8"/>
      <c r="N360" s="9"/>
    </row>
    <row r="361" spans="1:14" ht="125" x14ac:dyDescent="0.35">
      <c r="A361" s="16"/>
      <c r="B361" s="25"/>
      <c r="C361" s="26"/>
      <c r="D361" s="16"/>
      <c r="E361" s="25"/>
      <c r="F361" s="19"/>
      <c r="G361" s="19"/>
      <c r="H361" s="16"/>
      <c r="I361" s="19"/>
      <c r="J361" s="33" t="str">
        <f t="shared" si="12"/>
        <v>-030-039-044-051-082-084-090-093-095-096-097-098-171-180-250-283-322-325-328-330-356-384-409-415-420-444-514-580-4027-4029-</v>
      </c>
      <c r="K361" s="33" t="str">
        <f t="shared" si="13"/>
        <v/>
      </c>
      <c r="L361" s="7"/>
      <c r="M361" s="8"/>
      <c r="N361" s="9"/>
    </row>
    <row r="362" spans="1:14" ht="237.5" x14ac:dyDescent="0.35">
      <c r="A362" s="16">
        <v>95</v>
      </c>
      <c r="B362" s="25" t="s">
        <v>344</v>
      </c>
      <c r="C362" s="26" t="s">
        <v>82</v>
      </c>
      <c r="D362" s="16"/>
      <c r="E362" s="25" t="s">
        <v>345</v>
      </c>
      <c r="F362" s="27" t="s">
        <v>346</v>
      </c>
      <c r="G362" s="27"/>
      <c r="H362" s="16" t="s">
        <v>57</v>
      </c>
      <c r="I362" s="19" t="s">
        <v>83</v>
      </c>
      <c r="J362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2" s="33" t="str">
        <f t="shared" si="13"/>
        <v>x</v>
      </c>
      <c r="L362" s="7">
        <v>113968</v>
      </c>
      <c r="M362" s="8" t="s">
        <v>84</v>
      </c>
      <c r="N362" s="9" t="s">
        <v>39</v>
      </c>
    </row>
    <row r="363" spans="1:14" ht="237.5" x14ac:dyDescent="0.35">
      <c r="A363" s="16"/>
      <c r="B363" s="25"/>
      <c r="C363" s="26"/>
      <c r="D363" s="16"/>
      <c r="E363" s="25"/>
      <c r="F363" s="19"/>
      <c r="G363" s="19"/>
      <c r="H363" s="16"/>
      <c r="I363" s="19"/>
      <c r="J363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3" s="33" t="str">
        <f t="shared" si="13"/>
        <v>x</v>
      </c>
      <c r="L363" s="7">
        <v>102016</v>
      </c>
      <c r="M363" s="8" t="s">
        <v>85</v>
      </c>
      <c r="N363" s="9" t="s">
        <v>355</v>
      </c>
    </row>
    <row r="364" spans="1:14" ht="237.5" x14ac:dyDescent="0.35">
      <c r="A364" s="16"/>
      <c r="B364" s="25"/>
      <c r="C364" s="26"/>
      <c r="D364" s="16"/>
      <c r="E364" s="25"/>
      <c r="F364" s="19"/>
      <c r="G364" s="19"/>
      <c r="H364" s="16"/>
      <c r="I364" s="19"/>
      <c r="J364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4" s="33" t="str">
        <f t="shared" si="13"/>
        <v>x</v>
      </c>
      <c r="L364" s="7">
        <v>449804</v>
      </c>
      <c r="M364" s="8" t="s">
        <v>86</v>
      </c>
      <c r="N364" s="9" t="s">
        <v>360</v>
      </c>
    </row>
    <row r="365" spans="1:14" ht="237.5" x14ac:dyDescent="0.35">
      <c r="A365" s="16"/>
      <c r="B365" s="25"/>
      <c r="C365" s="26"/>
      <c r="D365" s="16"/>
      <c r="E365" s="25"/>
      <c r="F365" s="19"/>
      <c r="G365" s="19"/>
      <c r="H365" s="16"/>
      <c r="I365" s="19"/>
      <c r="J365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5" s="33" t="str">
        <f t="shared" si="13"/>
        <v>x</v>
      </c>
      <c r="L365" s="7">
        <v>3479504</v>
      </c>
      <c r="M365" s="8" t="s">
        <v>87</v>
      </c>
      <c r="N365" s="9" t="s">
        <v>38</v>
      </c>
    </row>
    <row r="366" spans="1:14" ht="237.5" x14ac:dyDescent="0.35">
      <c r="A366" s="16"/>
      <c r="B366" s="25"/>
      <c r="C366" s="26"/>
      <c r="D366" s="16"/>
      <c r="E366" s="25"/>
      <c r="F366" s="19"/>
      <c r="G366" s="19"/>
      <c r="H366" s="16"/>
      <c r="I366" s="19"/>
      <c r="J366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6" s="33" t="str">
        <f t="shared" si="13"/>
        <v>x</v>
      </c>
      <c r="L366" s="7">
        <v>1570514</v>
      </c>
      <c r="M366" s="8" t="s">
        <v>88</v>
      </c>
      <c r="N366" s="9" t="s">
        <v>360</v>
      </c>
    </row>
    <row r="367" spans="1:14" ht="237.5" x14ac:dyDescent="0.35">
      <c r="A367" s="16"/>
      <c r="B367" s="25"/>
      <c r="C367" s="26"/>
      <c r="D367" s="16"/>
      <c r="E367" s="25"/>
      <c r="F367" s="19"/>
      <c r="G367" s="19"/>
      <c r="H367" s="16"/>
      <c r="I367" s="19"/>
      <c r="J367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7" s="33" t="str">
        <f t="shared" si="13"/>
        <v>x</v>
      </c>
      <c r="L367" s="7">
        <v>3042695</v>
      </c>
      <c r="M367" s="8" t="s">
        <v>89</v>
      </c>
      <c r="N367" s="9" t="s">
        <v>38</v>
      </c>
    </row>
    <row r="368" spans="1:14" ht="237.5" x14ac:dyDescent="0.35">
      <c r="A368" s="16"/>
      <c r="B368" s="25"/>
      <c r="C368" s="26"/>
      <c r="D368" s="16"/>
      <c r="E368" s="25"/>
      <c r="F368" s="19"/>
      <c r="G368" s="19"/>
      <c r="H368" s="16"/>
      <c r="I368" s="19"/>
      <c r="J368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8" s="33" t="str">
        <f t="shared" si="13"/>
        <v>x</v>
      </c>
      <c r="L368" s="7">
        <v>122021</v>
      </c>
      <c r="M368" s="8" t="s">
        <v>90</v>
      </c>
      <c r="N368" s="9" t="s">
        <v>38</v>
      </c>
    </row>
    <row r="369" spans="1:14" ht="237.5" x14ac:dyDescent="0.35">
      <c r="A369" s="16"/>
      <c r="B369" s="25"/>
      <c r="C369" s="26"/>
      <c r="D369" s="16"/>
      <c r="E369" s="25"/>
      <c r="F369" s="19"/>
      <c r="G369" s="19"/>
      <c r="H369" s="16"/>
      <c r="I369" s="19"/>
      <c r="J369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69" s="33" t="str">
        <f t="shared" si="13"/>
        <v>x</v>
      </c>
      <c r="L369" s="7">
        <v>3511600</v>
      </c>
      <c r="M369" s="8" t="s">
        <v>91</v>
      </c>
      <c r="N369" s="9" t="s">
        <v>39</v>
      </c>
    </row>
    <row r="370" spans="1:14" ht="237.5" x14ac:dyDescent="0.35">
      <c r="A370" s="16"/>
      <c r="B370" s="25"/>
      <c r="C370" s="26"/>
      <c r="D370" s="16"/>
      <c r="E370" s="25"/>
      <c r="F370" s="19"/>
      <c r="G370" s="19"/>
      <c r="H370" s="16"/>
      <c r="I370" s="19"/>
      <c r="J370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70" s="33" t="str">
        <f t="shared" si="13"/>
        <v/>
      </c>
      <c r="L370" s="7"/>
      <c r="M370" s="8"/>
      <c r="N370" s="9"/>
    </row>
    <row r="371" spans="1:14" ht="237.5" x14ac:dyDescent="0.35">
      <c r="A371" s="16"/>
      <c r="B371" s="25"/>
      <c r="C371" s="26"/>
      <c r="D371" s="16"/>
      <c r="E371" s="25"/>
      <c r="F371" s="19"/>
      <c r="G371" s="19"/>
      <c r="H371" s="16"/>
      <c r="I371" s="19"/>
      <c r="J371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71" s="33" t="str">
        <f t="shared" si="13"/>
        <v/>
      </c>
      <c r="L371" s="7"/>
      <c r="M371" s="8"/>
      <c r="N371" s="9"/>
    </row>
    <row r="372" spans="1:14" ht="237.5" x14ac:dyDescent="0.35">
      <c r="A372" s="16"/>
      <c r="B372" s="25"/>
      <c r="C372" s="26"/>
      <c r="D372" s="16"/>
      <c r="E372" s="25"/>
      <c r="F372" s="19"/>
      <c r="G372" s="19"/>
      <c r="H372" s="16"/>
      <c r="I372" s="19"/>
      <c r="J372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72" s="33" t="str">
        <f t="shared" si="13"/>
        <v/>
      </c>
      <c r="L372" s="7"/>
      <c r="M372" s="8"/>
      <c r="N372" s="9"/>
    </row>
    <row r="373" spans="1:14" ht="237.5" x14ac:dyDescent="0.35">
      <c r="A373" s="16"/>
      <c r="B373" s="25"/>
      <c r="C373" s="26"/>
      <c r="D373" s="16"/>
      <c r="E373" s="25"/>
      <c r="F373" s="19"/>
      <c r="G373" s="19"/>
      <c r="H373" s="16"/>
      <c r="I373" s="19"/>
      <c r="J373" s="33" t="str">
        <f t="shared" si="12"/>
        <v>-030-033-044-045-053-073-075-086-089-095-096-097-135-156-158-171-172-175-180-258-259-262-266-275-281-282-289-290-302-307-322-328-330-352-358-363-368-370-376-379-383-385-402-409-422-435-483-502-554-556-578-620-628-650-4025-4028-</v>
      </c>
      <c r="K373" s="33" t="str">
        <f t="shared" si="13"/>
        <v/>
      </c>
      <c r="L373" s="7"/>
      <c r="M373" s="8"/>
      <c r="N373" s="9"/>
    </row>
    <row r="374" spans="1:14" ht="262.5" x14ac:dyDescent="0.35">
      <c r="A374" s="16" t="s">
        <v>99</v>
      </c>
      <c r="B374" s="25" t="s">
        <v>344</v>
      </c>
      <c r="C374" s="26" t="s">
        <v>58</v>
      </c>
      <c r="D374" s="16"/>
      <c r="E374" s="25" t="s">
        <v>345</v>
      </c>
      <c r="F374" s="27" t="s">
        <v>346</v>
      </c>
      <c r="G374" s="27"/>
      <c r="H374" s="16" t="s">
        <v>15</v>
      </c>
      <c r="I374" s="19" t="s">
        <v>16</v>
      </c>
      <c r="J374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4" s="33" t="str">
        <f t="shared" si="13"/>
        <v/>
      </c>
      <c r="L374" s="7">
        <v>1783394</v>
      </c>
      <c r="M374" s="8" t="s">
        <v>92</v>
      </c>
      <c r="N374" s="9" t="s">
        <v>347</v>
      </c>
    </row>
    <row r="375" spans="1:14" ht="262.5" x14ac:dyDescent="0.35">
      <c r="A375" s="16"/>
      <c r="B375" s="25"/>
      <c r="C375" s="26"/>
      <c r="D375" s="16"/>
      <c r="E375" s="25"/>
      <c r="F375" s="19"/>
      <c r="G375" s="19"/>
      <c r="H375" s="16"/>
      <c r="I375" s="19"/>
      <c r="J375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5" s="33" t="str">
        <f t="shared" si="13"/>
        <v/>
      </c>
      <c r="L375" s="7">
        <v>3053139</v>
      </c>
      <c r="M375" s="8" t="s">
        <v>93</v>
      </c>
      <c r="N375" s="9" t="s">
        <v>347</v>
      </c>
    </row>
    <row r="376" spans="1:14" ht="262.5" x14ac:dyDescent="0.35">
      <c r="A376" s="16"/>
      <c r="B376" s="25"/>
      <c r="C376" s="26"/>
      <c r="D376" s="16"/>
      <c r="E376" s="25"/>
      <c r="F376" s="19"/>
      <c r="G376" s="19"/>
      <c r="H376" s="16"/>
      <c r="I376" s="19"/>
      <c r="J376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6" s="33" t="str">
        <f t="shared" si="13"/>
        <v/>
      </c>
      <c r="L376" s="7">
        <v>80046</v>
      </c>
      <c r="M376" s="8" t="s">
        <v>94</v>
      </c>
      <c r="N376" s="9" t="s">
        <v>347</v>
      </c>
    </row>
    <row r="377" spans="1:14" ht="262.5" x14ac:dyDescent="0.35">
      <c r="A377" s="16"/>
      <c r="B377" s="25"/>
      <c r="C377" s="26"/>
      <c r="D377" s="16"/>
      <c r="E377" s="25"/>
      <c r="F377" s="19"/>
      <c r="G377" s="19"/>
      <c r="H377" s="16"/>
      <c r="I377" s="19"/>
      <c r="J377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7" s="33" t="str">
        <f t="shared" si="13"/>
        <v/>
      </c>
      <c r="L377" s="7"/>
      <c r="M377" s="8"/>
      <c r="N377" s="9"/>
    </row>
    <row r="378" spans="1:14" ht="262.5" x14ac:dyDescent="0.35">
      <c r="A378" s="16"/>
      <c r="B378" s="25"/>
      <c r="C378" s="26"/>
      <c r="D378" s="16"/>
      <c r="E378" s="25"/>
      <c r="F378" s="19"/>
      <c r="G378" s="19"/>
      <c r="H378" s="16"/>
      <c r="I378" s="19"/>
      <c r="J378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8" s="33" t="str">
        <f t="shared" si="13"/>
        <v/>
      </c>
      <c r="L378" s="7"/>
      <c r="M378" s="8"/>
      <c r="N378" s="9"/>
    </row>
    <row r="379" spans="1:14" ht="262.5" x14ac:dyDescent="0.35">
      <c r="A379" s="16"/>
      <c r="B379" s="25"/>
      <c r="C379" s="26"/>
      <c r="D379" s="16"/>
      <c r="E379" s="25"/>
      <c r="F379" s="19"/>
      <c r="G379" s="19"/>
      <c r="H379" s="16"/>
      <c r="I379" s="19"/>
      <c r="J379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79" s="33" t="str">
        <f t="shared" si="13"/>
        <v/>
      </c>
      <c r="L379" s="7"/>
      <c r="M379" s="8"/>
      <c r="N379" s="9"/>
    </row>
    <row r="380" spans="1:14" ht="262.5" x14ac:dyDescent="0.35">
      <c r="A380" s="16"/>
      <c r="B380" s="25"/>
      <c r="C380" s="26"/>
      <c r="D380" s="16"/>
      <c r="E380" s="25"/>
      <c r="F380" s="19"/>
      <c r="G380" s="19"/>
      <c r="H380" s="16"/>
      <c r="I380" s="19"/>
      <c r="J380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0" s="33" t="str">
        <f t="shared" si="13"/>
        <v/>
      </c>
      <c r="L380" s="7"/>
      <c r="M380" s="8"/>
      <c r="N380" s="9"/>
    </row>
    <row r="381" spans="1:14" ht="262.5" x14ac:dyDescent="0.35">
      <c r="A381" s="16"/>
      <c r="B381" s="25"/>
      <c r="C381" s="26"/>
      <c r="D381" s="16"/>
      <c r="E381" s="25"/>
      <c r="F381" s="19"/>
      <c r="G381" s="19"/>
      <c r="H381" s="16"/>
      <c r="I381" s="19"/>
      <c r="J381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1" s="33" t="str">
        <f t="shared" si="13"/>
        <v/>
      </c>
      <c r="L381" s="7"/>
      <c r="M381" s="8"/>
      <c r="N381" s="9"/>
    </row>
    <row r="382" spans="1:14" ht="262.5" x14ac:dyDescent="0.35">
      <c r="A382" s="16"/>
      <c r="B382" s="25"/>
      <c r="C382" s="26"/>
      <c r="D382" s="16"/>
      <c r="E382" s="25"/>
      <c r="F382" s="19"/>
      <c r="G382" s="19"/>
      <c r="H382" s="16"/>
      <c r="I382" s="19"/>
      <c r="J382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2" s="33" t="str">
        <f t="shared" si="13"/>
        <v/>
      </c>
      <c r="L382" s="7"/>
      <c r="M382" s="8"/>
      <c r="N382" s="9"/>
    </row>
    <row r="383" spans="1:14" ht="262.5" x14ac:dyDescent="0.35">
      <c r="A383" s="16"/>
      <c r="B383" s="25"/>
      <c r="C383" s="26"/>
      <c r="D383" s="16"/>
      <c r="E383" s="25"/>
      <c r="F383" s="19"/>
      <c r="G383" s="19"/>
      <c r="H383" s="16"/>
      <c r="I383" s="19"/>
      <c r="J383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3" s="33" t="str">
        <f t="shared" si="13"/>
        <v/>
      </c>
      <c r="L383" s="7"/>
      <c r="M383" s="8"/>
      <c r="N383" s="9"/>
    </row>
    <row r="384" spans="1:14" ht="262.5" x14ac:dyDescent="0.35">
      <c r="A384" s="16"/>
      <c r="B384" s="25"/>
      <c r="C384" s="26"/>
      <c r="D384" s="16"/>
      <c r="E384" s="25"/>
      <c r="F384" s="19"/>
      <c r="G384" s="19"/>
      <c r="H384" s="16"/>
      <c r="I384" s="19"/>
      <c r="J384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4" s="33" t="str">
        <f t="shared" si="13"/>
        <v/>
      </c>
      <c r="L384" s="7"/>
      <c r="M384" s="8"/>
      <c r="N384" s="9"/>
    </row>
    <row r="385" spans="1:14" ht="262.5" x14ac:dyDescent="0.35">
      <c r="A385" s="16"/>
      <c r="B385" s="25"/>
      <c r="C385" s="26"/>
      <c r="D385" s="16"/>
      <c r="E385" s="25"/>
      <c r="F385" s="19"/>
      <c r="G385" s="19"/>
      <c r="H385" s="16"/>
      <c r="I385" s="19"/>
      <c r="J385" s="33" t="str">
        <f t="shared" si="12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385" s="33" t="str">
        <f t="shared" si="13"/>
        <v/>
      </c>
      <c r="L385" s="7"/>
      <c r="M385" s="8"/>
      <c r="N385" s="9"/>
    </row>
    <row r="386" spans="1:14" ht="125" x14ac:dyDescent="0.35">
      <c r="A386" s="16" t="s">
        <v>99</v>
      </c>
      <c r="B386" s="25" t="s">
        <v>344</v>
      </c>
      <c r="C386" s="26" t="s">
        <v>58</v>
      </c>
      <c r="D386" s="16"/>
      <c r="E386" s="25" t="s">
        <v>345</v>
      </c>
      <c r="F386" s="27" t="s">
        <v>346</v>
      </c>
      <c r="G386" s="27"/>
      <c r="H386" s="16" t="s">
        <v>17</v>
      </c>
      <c r="I386" s="19" t="s">
        <v>18</v>
      </c>
      <c r="J386" s="33" t="str">
        <f t="shared" si="12"/>
        <v>-030-039-044-051-082-084-090-093-095-096-097-098-171-180-250-283-322-325-328-330-356-384-409-415-420-444-514-580-4027-4029-</v>
      </c>
      <c r="K386" s="33" t="str">
        <f t="shared" si="13"/>
        <v>x</v>
      </c>
      <c r="L386" s="7">
        <v>1783394</v>
      </c>
      <c r="M386" s="8" t="s">
        <v>92</v>
      </c>
      <c r="N386" s="9" t="s">
        <v>347</v>
      </c>
    </row>
    <row r="387" spans="1:14" ht="125" x14ac:dyDescent="0.35">
      <c r="A387" s="16"/>
      <c r="B387" s="25"/>
      <c r="C387" s="26"/>
      <c r="D387" s="16"/>
      <c r="E387" s="25"/>
      <c r="F387" s="19"/>
      <c r="G387" s="19"/>
      <c r="H387" s="16"/>
      <c r="I387" s="19"/>
      <c r="J387" s="33" t="str">
        <f t="shared" si="12"/>
        <v>-030-039-044-051-082-084-090-093-095-096-097-098-171-180-250-283-322-325-328-330-356-384-409-415-420-444-514-580-4027-4029-</v>
      </c>
      <c r="K387" s="33" t="str">
        <f t="shared" si="13"/>
        <v>x</v>
      </c>
      <c r="L387" s="7">
        <v>3053139</v>
      </c>
      <c r="M387" s="8" t="s">
        <v>93</v>
      </c>
      <c r="N387" s="9" t="s">
        <v>347</v>
      </c>
    </row>
    <row r="388" spans="1:14" ht="125" x14ac:dyDescent="0.35">
      <c r="A388" s="16"/>
      <c r="B388" s="25"/>
      <c r="C388" s="26"/>
      <c r="D388" s="16"/>
      <c r="E388" s="25"/>
      <c r="F388" s="19"/>
      <c r="G388" s="19"/>
      <c r="H388" s="16"/>
      <c r="I388" s="19"/>
      <c r="J388" s="33" t="str">
        <f t="shared" si="12"/>
        <v>-030-039-044-051-082-084-090-093-095-096-097-098-171-180-250-283-322-325-328-330-356-384-409-415-420-444-514-580-4027-4029-</v>
      </c>
      <c r="K388" s="33" t="str">
        <f t="shared" si="13"/>
        <v>x</v>
      </c>
      <c r="L388" s="7">
        <v>80046</v>
      </c>
      <c r="M388" s="8" t="s">
        <v>94</v>
      </c>
      <c r="N388" s="9" t="s">
        <v>347</v>
      </c>
    </row>
    <row r="389" spans="1:14" ht="125" x14ac:dyDescent="0.35">
      <c r="A389" s="16"/>
      <c r="B389" s="25"/>
      <c r="C389" s="26"/>
      <c r="D389" s="16"/>
      <c r="E389" s="25"/>
      <c r="F389" s="19"/>
      <c r="G389" s="19"/>
      <c r="H389" s="16"/>
      <c r="I389" s="19"/>
      <c r="J389" s="33" t="str">
        <f t="shared" si="12"/>
        <v>-030-039-044-051-082-084-090-093-095-096-097-098-171-180-250-283-322-325-328-330-356-384-409-415-420-444-514-580-4027-4029-</v>
      </c>
      <c r="K389" s="33" t="str">
        <f t="shared" si="13"/>
        <v>x</v>
      </c>
      <c r="L389" s="7">
        <v>3556911</v>
      </c>
      <c r="M389" s="8" t="s">
        <v>95</v>
      </c>
      <c r="N389" s="9" t="s">
        <v>347</v>
      </c>
    </row>
    <row r="390" spans="1:14" ht="125" x14ac:dyDescent="0.35">
      <c r="A390" s="16"/>
      <c r="B390" s="25"/>
      <c r="C390" s="26"/>
      <c r="D390" s="16"/>
      <c r="E390" s="25"/>
      <c r="F390" s="19"/>
      <c r="G390" s="19"/>
      <c r="H390" s="16"/>
      <c r="I390" s="19"/>
      <c r="J390" s="33" t="str">
        <f t="shared" ref="J390:J453" si="14">IF(I390&lt;&gt;"","-"&amp;I390&amp;"-",J389)</f>
        <v>-030-039-044-051-082-084-090-093-095-096-097-098-171-180-250-283-322-325-328-330-356-384-409-415-420-444-514-580-4027-4029-</v>
      </c>
      <c r="K390" s="33" t="str">
        <f t="shared" ref="K390:K453" si="15">IF(L390="","",IF(J390="TODOS ÉXITO A NIVEL NACIONAL-","x",IFERROR(IF(VALUE(IF(L390="","",FIND($AJ$2,J390,1)))&lt;&gt;"","x",""),"")))</f>
        <v>x</v>
      </c>
      <c r="L390" s="7">
        <v>1233497</v>
      </c>
      <c r="M390" s="8" t="s">
        <v>96</v>
      </c>
      <c r="N390" s="9" t="s">
        <v>347</v>
      </c>
    </row>
    <row r="391" spans="1:14" ht="125" x14ac:dyDescent="0.35">
      <c r="A391" s="16"/>
      <c r="B391" s="25"/>
      <c r="C391" s="26"/>
      <c r="D391" s="16"/>
      <c r="E391" s="25"/>
      <c r="F391" s="19"/>
      <c r="G391" s="19"/>
      <c r="H391" s="16"/>
      <c r="I391" s="19"/>
      <c r="J391" s="33" t="str">
        <f t="shared" si="14"/>
        <v>-030-039-044-051-082-084-090-093-095-096-097-098-171-180-250-283-322-325-328-330-356-384-409-415-420-444-514-580-4027-4029-</v>
      </c>
      <c r="K391" s="33" t="str">
        <f t="shared" si="15"/>
        <v/>
      </c>
      <c r="L391" s="7"/>
      <c r="M391" s="8"/>
      <c r="N391" s="9"/>
    </row>
    <row r="392" spans="1:14" ht="125" x14ac:dyDescent="0.35">
      <c r="A392" s="16"/>
      <c r="B392" s="25"/>
      <c r="C392" s="26"/>
      <c r="D392" s="16"/>
      <c r="E392" s="25"/>
      <c r="F392" s="19"/>
      <c r="G392" s="19"/>
      <c r="H392" s="16"/>
      <c r="I392" s="19"/>
      <c r="J392" s="33" t="str">
        <f t="shared" si="14"/>
        <v>-030-039-044-051-082-084-090-093-095-096-097-098-171-180-250-283-322-325-328-330-356-384-409-415-420-444-514-580-4027-4029-</v>
      </c>
      <c r="K392" s="33" t="str">
        <f t="shared" si="15"/>
        <v/>
      </c>
      <c r="L392" s="7"/>
      <c r="M392" s="8"/>
      <c r="N392" s="9"/>
    </row>
    <row r="393" spans="1:14" ht="125" x14ac:dyDescent="0.35">
      <c r="A393" s="16"/>
      <c r="B393" s="25"/>
      <c r="C393" s="26"/>
      <c r="D393" s="16"/>
      <c r="E393" s="25"/>
      <c r="F393" s="19"/>
      <c r="G393" s="19"/>
      <c r="H393" s="16"/>
      <c r="I393" s="19"/>
      <c r="J393" s="33" t="str">
        <f t="shared" si="14"/>
        <v>-030-039-044-051-082-084-090-093-095-096-097-098-171-180-250-283-322-325-328-330-356-384-409-415-420-444-514-580-4027-4029-</v>
      </c>
      <c r="K393" s="33" t="str">
        <f t="shared" si="15"/>
        <v/>
      </c>
      <c r="L393" s="7"/>
      <c r="M393" s="8"/>
      <c r="N393" s="9"/>
    </row>
    <row r="394" spans="1:14" ht="125" x14ac:dyDescent="0.35">
      <c r="A394" s="16"/>
      <c r="B394" s="25"/>
      <c r="C394" s="26"/>
      <c r="D394" s="16"/>
      <c r="E394" s="25"/>
      <c r="F394" s="19"/>
      <c r="G394" s="19"/>
      <c r="H394" s="16"/>
      <c r="I394" s="19"/>
      <c r="J394" s="33" t="str">
        <f t="shared" si="14"/>
        <v>-030-039-044-051-082-084-090-093-095-096-097-098-171-180-250-283-322-325-328-330-356-384-409-415-420-444-514-580-4027-4029-</v>
      </c>
      <c r="K394" s="33" t="str">
        <f t="shared" si="15"/>
        <v/>
      </c>
      <c r="L394" s="7"/>
      <c r="M394" s="8"/>
      <c r="N394" s="9"/>
    </row>
    <row r="395" spans="1:14" ht="125" x14ac:dyDescent="0.35">
      <c r="A395" s="16"/>
      <c r="B395" s="25"/>
      <c r="C395" s="26"/>
      <c r="D395" s="16"/>
      <c r="E395" s="25"/>
      <c r="F395" s="19"/>
      <c r="G395" s="19"/>
      <c r="H395" s="16"/>
      <c r="I395" s="19"/>
      <c r="J395" s="33" t="str">
        <f t="shared" si="14"/>
        <v>-030-039-044-051-082-084-090-093-095-096-097-098-171-180-250-283-322-325-328-330-356-384-409-415-420-444-514-580-4027-4029-</v>
      </c>
      <c r="K395" s="33" t="str">
        <f t="shared" si="15"/>
        <v/>
      </c>
      <c r="L395" s="7"/>
      <c r="M395" s="8"/>
      <c r="N395" s="9"/>
    </row>
    <row r="396" spans="1:14" ht="125" x14ac:dyDescent="0.35">
      <c r="A396" s="16"/>
      <c r="B396" s="25"/>
      <c r="C396" s="26"/>
      <c r="D396" s="16"/>
      <c r="E396" s="25"/>
      <c r="F396" s="19"/>
      <c r="G396" s="19"/>
      <c r="H396" s="16"/>
      <c r="I396" s="19"/>
      <c r="J396" s="33" t="str">
        <f t="shared" si="14"/>
        <v>-030-039-044-051-082-084-090-093-095-096-097-098-171-180-250-283-322-325-328-330-356-384-409-415-420-444-514-580-4027-4029-</v>
      </c>
      <c r="K396" s="33" t="str">
        <f t="shared" si="15"/>
        <v/>
      </c>
      <c r="L396" s="7"/>
      <c r="M396" s="8"/>
      <c r="N396" s="9"/>
    </row>
    <row r="397" spans="1:14" ht="125" x14ac:dyDescent="0.35">
      <c r="A397" s="16"/>
      <c r="B397" s="25"/>
      <c r="C397" s="26"/>
      <c r="D397" s="16"/>
      <c r="E397" s="25"/>
      <c r="F397" s="19"/>
      <c r="G397" s="19"/>
      <c r="H397" s="16"/>
      <c r="I397" s="19"/>
      <c r="J397" s="33" t="str">
        <f t="shared" si="14"/>
        <v>-030-039-044-051-082-084-090-093-095-096-097-098-171-180-250-283-322-325-328-330-356-384-409-415-420-444-514-580-4027-4029-</v>
      </c>
      <c r="K397" s="33" t="str">
        <f t="shared" si="15"/>
        <v/>
      </c>
      <c r="L397" s="7"/>
      <c r="M397" s="8"/>
      <c r="N397" s="9"/>
    </row>
    <row r="398" spans="1:14" ht="237.5" x14ac:dyDescent="0.35">
      <c r="A398" s="16" t="s">
        <v>99</v>
      </c>
      <c r="B398" s="25" t="s">
        <v>344</v>
      </c>
      <c r="C398" s="26" t="s">
        <v>58</v>
      </c>
      <c r="D398" s="16"/>
      <c r="E398" s="25" t="s">
        <v>345</v>
      </c>
      <c r="F398" s="27"/>
      <c r="G398" s="27"/>
      <c r="H398" s="16" t="s">
        <v>57</v>
      </c>
      <c r="I398" s="19" t="s">
        <v>83</v>
      </c>
      <c r="J398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398" s="33" t="str">
        <f t="shared" si="15"/>
        <v>x</v>
      </c>
      <c r="L398" s="7">
        <v>1783394</v>
      </c>
      <c r="M398" s="8" t="s">
        <v>92</v>
      </c>
      <c r="N398" s="9" t="s">
        <v>347</v>
      </c>
    </row>
    <row r="399" spans="1:14" ht="237.5" x14ac:dyDescent="0.35">
      <c r="A399" s="16"/>
      <c r="B399" s="25"/>
      <c r="C399" s="26"/>
      <c r="D399" s="16"/>
      <c r="E399" s="25"/>
      <c r="F399" s="19"/>
      <c r="G399" s="19"/>
      <c r="H399" s="16"/>
      <c r="I399" s="19"/>
      <c r="J399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399" s="33" t="str">
        <f t="shared" si="15"/>
        <v>x</v>
      </c>
      <c r="L399" s="7">
        <v>3053139</v>
      </c>
      <c r="M399" s="8" t="s">
        <v>93</v>
      </c>
      <c r="N399" s="9" t="s">
        <v>347</v>
      </c>
    </row>
    <row r="400" spans="1:14" ht="237.5" x14ac:dyDescent="0.35">
      <c r="A400" s="16"/>
      <c r="B400" s="25"/>
      <c r="C400" s="26"/>
      <c r="D400" s="16"/>
      <c r="E400" s="25"/>
      <c r="F400" s="19"/>
      <c r="G400" s="19"/>
      <c r="H400" s="16"/>
      <c r="I400" s="19"/>
      <c r="J400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0" s="33" t="str">
        <f t="shared" si="15"/>
        <v>x</v>
      </c>
      <c r="L400" s="7">
        <v>80046</v>
      </c>
      <c r="M400" s="8" t="s">
        <v>94</v>
      </c>
      <c r="N400" s="9" t="s">
        <v>347</v>
      </c>
    </row>
    <row r="401" spans="1:14" ht="237.5" x14ac:dyDescent="0.35">
      <c r="A401" s="16"/>
      <c r="B401" s="25"/>
      <c r="C401" s="26"/>
      <c r="D401" s="16"/>
      <c r="E401" s="25"/>
      <c r="F401" s="19"/>
      <c r="G401" s="19"/>
      <c r="H401" s="16"/>
      <c r="I401" s="19"/>
      <c r="J401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1" s="33" t="str">
        <f t="shared" si="15"/>
        <v>x</v>
      </c>
      <c r="L401" s="7">
        <v>3556911</v>
      </c>
      <c r="M401" s="8" t="s">
        <v>95</v>
      </c>
      <c r="N401" s="9" t="s">
        <v>347</v>
      </c>
    </row>
    <row r="402" spans="1:14" ht="237.5" x14ac:dyDescent="0.35">
      <c r="A402" s="16"/>
      <c r="B402" s="25"/>
      <c r="C402" s="26"/>
      <c r="D402" s="16"/>
      <c r="E402" s="25"/>
      <c r="F402" s="19"/>
      <c r="G402" s="19"/>
      <c r="H402" s="16"/>
      <c r="I402" s="19"/>
      <c r="J402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2" s="33" t="str">
        <f t="shared" si="15"/>
        <v>x</v>
      </c>
      <c r="L402" s="7">
        <v>1233497</v>
      </c>
      <c r="M402" s="8" t="s">
        <v>96</v>
      </c>
      <c r="N402" s="9" t="s">
        <v>347</v>
      </c>
    </row>
    <row r="403" spans="1:14" ht="237.5" x14ac:dyDescent="0.35">
      <c r="A403" s="16"/>
      <c r="B403" s="25"/>
      <c r="C403" s="26"/>
      <c r="D403" s="16"/>
      <c r="E403" s="25"/>
      <c r="F403" s="19"/>
      <c r="G403" s="19"/>
      <c r="H403" s="16"/>
      <c r="I403" s="19"/>
      <c r="J403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3" s="33" t="str">
        <f t="shared" si="15"/>
        <v>x</v>
      </c>
      <c r="L403" s="7">
        <v>1774236</v>
      </c>
      <c r="M403" s="8" t="s">
        <v>97</v>
      </c>
      <c r="N403" s="9" t="s">
        <v>347</v>
      </c>
    </row>
    <row r="404" spans="1:14" ht="237.5" x14ac:dyDescent="0.35">
      <c r="A404" s="16"/>
      <c r="B404" s="25"/>
      <c r="C404" s="26"/>
      <c r="D404" s="16"/>
      <c r="E404" s="25"/>
      <c r="F404" s="19"/>
      <c r="G404" s="19"/>
      <c r="H404" s="16"/>
      <c r="I404" s="19"/>
      <c r="J404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4" s="33" t="str">
        <f t="shared" si="15"/>
        <v>x</v>
      </c>
      <c r="L404" s="7">
        <v>11486</v>
      </c>
      <c r="M404" s="8" t="s">
        <v>98</v>
      </c>
      <c r="N404" s="9" t="s">
        <v>356</v>
      </c>
    </row>
    <row r="405" spans="1:14" ht="237.5" x14ac:dyDescent="0.35">
      <c r="A405" s="16"/>
      <c r="B405" s="25"/>
      <c r="C405" s="26"/>
      <c r="D405" s="16"/>
      <c r="E405" s="25"/>
      <c r="F405" s="19"/>
      <c r="G405" s="19"/>
      <c r="H405" s="16"/>
      <c r="I405" s="19"/>
      <c r="J405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5" s="33" t="str">
        <f t="shared" si="15"/>
        <v/>
      </c>
      <c r="L405" s="7"/>
      <c r="M405" s="8"/>
      <c r="N405" s="9"/>
    </row>
    <row r="406" spans="1:14" ht="237.5" x14ac:dyDescent="0.35">
      <c r="A406" s="16"/>
      <c r="B406" s="25"/>
      <c r="C406" s="26"/>
      <c r="D406" s="16"/>
      <c r="E406" s="25"/>
      <c r="F406" s="19"/>
      <c r="G406" s="19"/>
      <c r="H406" s="16"/>
      <c r="I406" s="19"/>
      <c r="J406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6" s="33" t="str">
        <f t="shared" si="15"/>
        <v/>
      </c>
      <c r="L406" s="7"/>
      <c r="M406" s="8"/>
      <c r="N406" s="9"/>
    </row>
    <row r="407" spans="1:14" ht="237.5" x14ac:dyDescent="0.35">
      <c r="A407" s="16"/>
      <c r="B407" s="25"/>
      <c r="C407" s="26"/>
      <c r="D407" s="16"/>
      <c r="E407" s="25"/>
      <c r="F407" s="19"/>
      <c r="G407" s="19"/>
      <c r="H407" s="16"/>
      <c r="I407" s="19"/>
      <c r="J407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7" s="33" t="str">
        <f t="shared" si="15"/>
        <v/>
      </c>
      <c r="L407" s="7"/>
      <c r="M407" s="8"/>
      <c r="N407" s="9"/>
    </row>
    <row r="408" spans="1:14" ht="237.5" x14ac:dyDescent="0.35">
      <c r="A408" s="16"/>
      <c r="B408" s="25"/>
      <c r="C408" s="26"/>
      <c r="D408" s="16"/>
      <c r="E408" s="25"/>
      <c r="F408" s="19"/>
      <c r="G408" s="19"/>
      <c r="H408" s="16"/>
      <c r="I408" s="19"/>
      <c r="J408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8" s="33" t="str">
        <f t="shared" si="15"/>
        <v/>
      </c>
      <c r="L408" s="7"/>
      <c r="M408" s="8"/>
      <c r="N408" s="9"/>
    </row>
    <row r="409" spans="1:14" ht="237.5" x14ac:dyDescent="0.35">
      <c r="A409" s="16"/>
      <c r="B409" s="25"/>
      <c r="C409" s="26"/>
      <c r="D409" s="16"/>
      <c r="E409" s="25"/>
      <c r="F409" s="19"/>
      <c r="G409" s="19"/>
      <c r="H409" s="16"/>
      <c r="I409" s="19"/>
      <c r="J409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09" s="33" t="str">
        <f t="shared" si="15"/>
        <v/>
      </c>
      <c r="L409" s="7"/>
      <c r="M409" s="8"/>
      <c r="N409" s="9"/>
    </row>
    <row r="410" spans="1:14" ht="262.5" x14ac:dyDescent="0.35">
      <c r="A410" s="16" t="s">
        <v>121</v>
      </c>
      <c r="B410" s="25" t="s">
        <v>344</v>
      </c>
      <c r="C410" s="26" t="s">
        <v>112</v>
      </c>
      <c r="D410" s="16"/>
      <c r="E410" s="25" t="s">
        <v>345</v>
      </c>
      <c r="F410" s="27" t="s">
        <v>346</v>
      </c>
      <c r="G410" s="27"/>
      <c r="H410" s="16" t="s">
        <v>15</v>
      </c>
      <c r="I410" s="19" t="s">
        <v>16</v>
      </c>
      <c r="J410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0" s="33" t="str">
        <f t="shared" si="15"/>
        <v/>
      </c>
      <c r="L410" s="7">
        <v>419396</v>
      </c>
      <c r="M410" s="8" t="s">
        <v>113</v>
      </c>
      <c r="N410" s="9" t="s">
        <v>347</v>
      </c>
    </row>
    <row r="411" spans="1:14" ht="262.5" x14ac:dyDescent="0.35">
      <c r="A411" s="16"/>
      <c r="B411" s="25"/>
      <c r="C411" s="26"/>
      <c r="D411" s="16"/>
      <c r="E411" s="25"/>
      <c r="F411" s="19"/>
      <c r="G411" s="19"/>
      <c r="H411" s="16"/>
      <c r="I411" s="19"/>
      <c r="J411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1" s="33" t="str">
        <f t="shared" si="15"/>
        <v/>
      </c>
      <c r="L411" s="7">
        <v>3640324</v>
      </c>
      <c r="M411" s="8" t="s">
        <v>114</v>
      </c>
      <c r="N411" s="9" t="s">
        <v>347</v>
      </c>
    </row>
    <row r="412" spans="1:14" ht="262.5" x14ac:dyDescent="0.35">
      <c r="A412" s="16"/>
      <c r="B412" s="25"/>
      <c r="C412" s="26"/>
      <c r="D412" s="16"/>
      <c r="E412" s="25"/>
      <c r="F412" s="19"/>
      <c r="G412" s="19"/>
      <c r="H412" s="16"/>
      <c r="I412" s="19"/>
      <c r="J412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2" s="33" t="str">
        <f t="shared" si="15"/>
        <v/>
      </c>
      <c r="L412" s="7"/>
      <c r="M412" s="8"/>
      <c r="N412" s="9"/>
    </row>
    <row r="413" spans="1:14" ht="262.5" x14ac:dyDescent="0.35">
      <c r="A413" s="16"/>
      <c r="B413" s="25"/>
      <c r="C413" s="26"/>
      <c r="D413" s="16"/>
      <c r="E413" s="25"/>
      <c r="F413" s="19"/>
      <c r="G413" s="19"/>
      <c r="H413" s="16"/>
      <c r="I413" s="19"/>
      <c r="J413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3" s="33" t="str">
        <f t="shared" si="15"/>
        <v/>
      </c>
      <c r="L413" s="7"/>
      <c r="M413" s="8"/>
      <c r="N413" s="9"/>
    </row>
    <row r="414" spans="1:14" ht="262.5" x14ac:dyDescent="0.35">
      <c r="A414" s="16"/>
      <c r="B414" s="25"/>
      <c r="C414" s="26"/>
      <c r="D414" s="16"/>
      <c r="E414" s="25"/>
      <c r="F414" s="19"/>
      <c r="G414" s="19"/>
      <c r="H414" s="16"/>
      <c r="I414" s="19"/>
      <c r="J414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4" s="33" t="str">
        <f t="shared" si="15"/>
        <v/>
      </c>
      <c r="L414" s="7"/>
      <c r="M414" s="8"/>
      <c r="N414" s="9"/>
    </row>
    <row r="415" spans="1:14" ht="262.5" x14ac:dyDescent="0.35">
      <c r="A415" s="16"/>
      <c r="B415" s="25"/>
      <c r="C415" s="26"/>
      <c r="D415" s="16"/>
      <c r="E415" s="25"/>
      <c r="F415" s="19"/>
      <c r="G415" s="19"/>
      <c r="H415" s="16"/>
      <c r="I415" s="19"/>
      <c r="J415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5" s="33" t="str">
        <f t="shared" si="15"/>
        <v/>
      </c>
      <c r="L415" s="7"/>
      <c r="M415" s="8"/>
      <c r="N415" s="9"/>
    </row>
    <row r="416" spans="1:14" ht="262.5" x14ac:dyDescent="0.35">
      <c r="A416" s="16"/>
      <c r="B416" s="25"/>
      <c r="C416" s="26"/>
      <c r="D416" s="16"/>
      <c r="E416" s="25"/>
      <c r="F416" s="19"/>
      <c r="G416" s="19"/>
      <c r="H416" s="16"/>
      <c r="I416" s="19"/>
      <c r="J416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6" s="33" t="str">
        <f t="shared" si="15"/>
        <v/>
      </c>
      <c r="L416" s="7"/>
      <c r="M416" s="8"/>
      <c r="N416" s="9"/>
    </row>
    <row r="417" spans="1:14" ht="262.5" x14ac:dyDescent="0.35">
      <c r="A417" s="16"/>
      <c r="B417" s="25"/>
      <c r="C417" s="26"/>
      <c r="D417" s="16"/>
      <c r="E417" s="25"/>
      <c r="F417" s="19"/>
      <c r="G417" s="19"/>
      <c r="H417" s="16"/>
      <c r="I417" s="19"/>
      <c r="J417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7" s="33" t="str">
        <f t="shared" si="15"/>
        <v/>
      </c>
      <c r="L417" s="7"/>
      <c r="M417" s="8"/>
      <c r="N417" s="9"/>
    </row>
    <row r="418" spans="1:14" ht="262.5" x14ac:dyDescent="0.35">
      <c r="A418" s="16"/>
      <c r="B418" s="25"/>
      <c r="C418" s="26"/>
      <c r="D418" s="16"/>
      <c r="E418" s="25"/>
      <c r="F418" s="19"/>
      <c r="G418" s="19"/>
      <c r="H418" s="16"/>
      <c r="I418" s="19"/>
      <c r="J418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8" s="33" t="str">
        <f t="shared" si="15"/>
        <v/>
      </c>
      <c r="L418" s="7"/>
      <c r="M418" s="8"/>
      <c r="N418" s="9"/>
    </row>
    <row r="419" spans="1:14" ht="262.5" x14ac:dyDescent="0.35">
      <c r="A419" s="16"/>
      <c r="B419" s="25"/>
      <c r="C419" s="26"/>
      <c r="D419" s="16"/>
      <c r="E419" s="25"/>
      <c r="F419" s="19"/>
      <c r="G419" s="19"/>
      <c r="H419" s="16"/>
      <c r="I419" s="19"/>
      <c r="J419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19" s="33" t="str">
        <f t="shared" si="15"/>
        <v/>
      </c>
      <c r="L419" s="7"/>
      <c r="M419" s="8"/>
      <c r="N419" s="9"/>
    </row>
    <row r="420" spans="1:14" ht="262.5" x14ac:dyDescent="0.35">
      <c r="A420" s="16"/>
      <c r="B420" s="25"/>
      <c r="C420" s="26"/>
      <c r="D420" s="16"/>
      <c r="E420" s="25"/>
      <c r="F420" s="19"/>
      <c r="G420" s="19"/>
      <c r="H420" s="16"/>
      <c r="I420" s="19"/>
      <c r="J420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20" s="33" t="str">
        <f t="shared" si="15"/>
        <v/>
      </c>
      <c r="L420" s="7"/>
      <c r="M420" s="8"/>
      <c r="N420" s="9"/>
    </row>
    <row r="421" spans="1:14" ht="262.5" x14ac:dyDescent="0.35">
      <c r="A421" s="16"/>
      <c r="B421" s="25"/>
      <c r="C421" s="26"/>
      <c r="D421" s="16"/>
      <c r="E421" s="25"/>
      <c r="F421" s="19"/>
      <c r="G421" s="19"/>
      <c r="H421" s="16"/>
      <c r="I421" s="19"/>
      <c r="J421" s="33" t="str">
        <f t="shared" si="14"/>
        <v>-031-037-039-041-043-044-046-047-051-054-056-058-063-071-083-084-086-088-089-090-091-092-093-097-098-135-156-157-159-173-173-174-175-258-259-265-281-302-353-354-357-362-363-368-369-370-385-408-435-4025-4027-4029-4040-4044-4049-4050-4054-4056-4058-</v>
      </c>
      <c r="K421" s="33" t="str">
        <f t="shared" si="15"/>
        <v/>
      </c>
      <c r="L421" s="7"/>
      <c r="M421" s="8"/>
      <c r="N421" s="9"/>
    </row>
    <row r="422" spans="1:14" ht="125" x14ac:dyDescent="0.35">
      <c r="A422" s="16" t="s">
        <v>122</v>
      </c>
      <c r="B422" s="25" t="s">
        <v>344</v>
      </c>
      <c r="C422" s="26" t="s">
        <v>112</v>
      </c>
      <c r="D422" s="16"/>
      <c r="E422" s="25" t="s">
        <v>345</v>
      </c>
      <c r="F422" s="27" t="s">
        <v>346</v>
      </c>
      <c r="G422" s="27"/>
      <c r="H422" s="16" t="s">
        <v>17</v>
      </c>
      <c r="I422" s="19" t="s">
        <v>18</v>
      </c>
      <c r="J422" s="33" t="str">
        <f t="shared" si="14"/>
        <v>-030-039-044-051-082-084-090-093-095-096-097-098-171-180-250-283-322-325-328-330-356-384-409-415-420-444-514-580-4027-4029-</v>
      </c>
      <c r="K422" s="33" t="str">
        <f t="shared" si="15"/>
        <v>x</v>
      </c>
      <c r="L422" s="7">
        <v>419396</v>
      </c>
      <c r="M422" s="8" t="s">
        <v>113</v>
      </c>
      <c r="N422" s="9" t="s">
        <v>347</v>
      </c>
    </row>
    <row r="423" spans="1:14" ht="125" x14ac:dyDescent="0.35">
      <c r="A423" s="16"/>
      <c r="B423" s="25"/>
      <c r="C423" s="26"/>
      <c r="D423" s="16"/>
      <c r="E423" s="25"/>
      <c r="F423" s="19"/>
      <c r="G423" s="19"/>
      <c r="H423" s="16"/>
      <c r="I423" s="19"/>
      <c r="J423" s="33" t="str">
        <f t="shared" si="14"/>
        <v>-030-039-044-051-082-084-090-093-095-096-097-098-171-180-250-283-322-325-328-330-356-384-409-415-420-444-514-580-4027-4029-</v>
      </c>
      <c r="K423" s="33" t="str">
        <f t="shared" si="15"/>
        <v>x</v>
      </c>
      <c r="L423" s="7">
        <v>3640324</v>
      </c>
      <c r="M423" s="8" t="s">
        <v>114</v>
      </c>
      <c r="N423" s="9" t="s">
        <v>347</v>
      </c>
    </row>
    <row r="424" spans="1:14" ht="125" x14ac:dyDescent="0.35">
      <c r="A424" s="16"/>
      <c r="B424" s="25"/>
      <c r="C424" s="26"/>
      <c r="D424" s="16"/>
      <c r="E424" s="25"/>
      <c r="F424" s="19"/>
      <c r="G424" s="19"/>
      <c r="H424" s="16"/>
      <c r="I424" s="19"/>
      <c r="J424" s="33" t="str">
        <f t="shared" si="14"/>
        <v>-030-039-044-051-082-084-090-093-095-096-097-098-171-180-250-283-322-325-328-330-356-384-409-415-420-444-514-580-4027-4029-</v>
      </c>
      <c r="K424" s="33" t="str">
        <f t="shared" si="15"/>
        <v>x</v>
      </c>
      <c r="L424" s="7">
        <v>309034</v>
      </c>
      <c r="M424" s="8" t="s">
        <v>115</v>
      </c>
      <c r="N424" s="9" t="s">
        <v>347</v>
      </c>
    </row>
    <row r="425" spans="1:14" ht="125" x14ac:dyDescent="0.35">
      <c r="A425" s="16"/>
      <c r="B425" s="25"/>
      <c r="C425" s="26"/>
      <c r="D425" s="16"/>
      <c r="E425" s="25"/>
      <c r="F425" s="19"/>
      <c r="G425" s="19"/>
      <c r="H425" s="16"/>
      <c r="I425" s="19"/>
      <c r="J425" s="33" t="str">
        <f t="shared" si="14"/>
        <v>-030-039-044-051-082-084-090-093-095-096-097-098-171-180-250-283-322-325-328-330-356-384-409-415-420-444-514-580-4027-4029-</v>
      </c>
      <c r="K425" s="33" t="str">
        <f t="shared" si="15"/>
        <v>x</v>
      </c>
      <c r="L425" s="7">
        <v>47211</v>
      </c>
      <c r="M425" s="8" t="s">
        <v>116</v>
      </c>
      <c r="N425" s="9" t="s">
        <v>347</v>
      </c>
    </row>
    <row r="426" spans="1:14" ht="125" x14ac:dyDescent="0.35">
      <c r="A426" s="16"/>
      <c r="B426" s="25"/>
      <c r="C426" s="26"/>
      <c r="D426" s="16"/>
      <c r="E426" s="25"/>
      <c r="F426" s="19"/>
      <c r="G426" s="19"/>
      <c r="H426" s="16"/>
      <c r="I426" s="19"/>
      <c r="J426" s="33" t="str">
        <f t="shared" si="14"/>
        <v>-030-039-044-051-082-084-090-093-095-096-097-098-171-180-250-283-322-325-328-330-356-384-409-415-420-444-514-580-4027-4029-</v>
      </c>
      <c r="K426" s="33" t="str">
        <f t="shared" si="15"/>
        <v>x</v>
      </c>
      <c r="L426" s="7">
        <v>3298462</v>
      </c>
      <c r="M426" s="8" t="s">
        <v>117</v>
      </c>
      <c r="N426" s="9" t="s">
        <v>347</v>
      </c>
    </row>
    <row r="427" spans="1:14" ht="125" x14ac:dyDescent="0.35">
      <c r="A427" s="16"/>
      <c r="B427" s="25"/>
      <c r="C427" s="26"/>
      <c r="D427" s="16"/>
      <c r="E427" s="25"/>
      <c r="F427" s="19"/>
      <c r="G427" s="19"/>
      <c r="H427" s="16"/>
      <c r="I427" s="19"/>
      <c r="J427" s="33" t="str">
        <f t="shared" si="14"/>
        <v>-030-039-044-051-082-084-090-093-095-096-097-098-171-180-250-283-322-325-328-330-356-384-409-415-420-444-514-580-4027-4029-</v>
      </c>
      <c r="K427" s="33" t="str">
        <f t="shared" si="15"/>
        <v/>
      </c>
      <c r="L427" s="7"/>
      <c r="M427" s="8"/>
      <c r="N427" s="9"/>
    </row>
    <row r="428" spans="1:14" ht="125" x14ac:dyDescent="0.35">
      <c r="A428" s="16"/>
      <c r="B428" s="25"/>
      <c r="C428" s="26"/>
      <c r="D428" s="16"/>
      <c r="E428" s="25"/>
      <c r="F428" s="19"/>
      <c r="G428" s="19"/>
      <c r="H428" s="16"/>
      <c r="I428" s="19"/>
      <c r="J428" s="33" t="str">
        <f t="shared" si="14"/>
        <v>-030-039-044-051-082-084-090-093-095-096-097-098-171-180-250-283-322-325-328-330-356-384-409-415-420-444-514-580-4027-4029-</v>
      </c>
      <c r="K428" s="33" t="str">
        <f t="shared" si="15"/>
        <v/>
      </c>
      <c r="L428" s="7"/>
      <c r="M428" s="8"/>
      <c r="N428" s="9"/>
    </row>
    <row r="429" spans="1:14" ht="125" x14ac:dyDescent="0.35">
      <c r="A429" s="16"/>
      <c r="B429" s="25"/>
      <c r="C429" s="26"/>
      <c r="D429" s="16"/>
      <c r="E429" s="25"/>
      <c r="F429" s="19"/>
      <c r="G429" s="19"/>
      <c r="H429" s="16"/>
      <c r="I429" s="19"/>
      <c r="J429" s="33" t="str">
        <f t="shared" si="14"/>
        <v>-030-039-044-051-082-084-090-093-095-096-097-098-171-180-250-283-322-325-328-330-356-384-409-415-420-444-514-580-4027-4029-</v>
      </c>
      <c r="K429" s="33" t="str">
        <f t="shared" si="15"/>
        <v/>
      </c>
      <c r="L429" s="7"/>
      <c r="M429" s="8"/>
      <c r="N429" s="9"/>
    </row>
    <row r="430" spans="1:14" ht="125" x14ac:dyDescent="0.35">
      <c r="A430" s="16"/>
      <c r="B430" s="25"/>
      <c r="C430" s="26"/>
      <c r="D430" s="16"/>
      <c r="E430" s="25"/>
      <c r="F430" s="19"/>
      <c r="G430" s="19"/>
      <c r="H430" s="16"/>
      <c r="I430" s="19"/>
      <c r="J430" s="33" t="str">
        <f t="shared" si="14"/>
        <v>-030-039-044-051-082-084-090-093-095-096-097-098-171-180-250-283-322-325-328-330-356-384-409-415-420-444-514-580-4027-4029-</v>
      </c>
      <c r="K430" s="33" t="str">
        <f t="shared" si="15"/>
        <v/>
      </c>
      <c r="L430" s="7"/>
      <c r="M430" s="8"/>
      <c r="N430" s="9"/>
    </row>
    <row r="431" spans="1:14" ht="125" x14ac:dyDescent="0.35">
      <c r="A431" s="16"/>
      <c r="B431" s="25"/>
      <c r="C431" s="26"/>
      <c r="D431" s="16"/>
      <c r="E431" s="25"/>
      <c r="F431" s="19"/>
      <c r="G431" s="19"/>
      <c r="H431" s="16"/>
      <c r="I431" s="19"/>
      <c r="J431" s="33" t="str">
        <f t="shared" si="14"/>
        <v>-030-039-044-051-082-084-090-093-095-096-097-098-171-180-250-283-322-325-328-330-356-384-409-415-420-444-514-580-4027-4029-</v>
      </c>
      <c r="K431" s="33" t="str">
        <f t="shared" si="15"/>
        <v/>
      </c>
      <c r="L431" s="7"/>
      <c r="M431" s="8"/>
      <c r="N431" s="9"/>
    </row>
    <row r="432" spans="1:14" ht="125" x14ac:dyDescent="0.35">
      <c r="A432" s="16"/>
      <c r="B432" s="25"/>
      <c r="C432" s="26"/>
      <c r="D432" s="16"/>
      <c r="E432" s="25"/>
      <c r="F432" s="19"/>
      <c r="G432" s="19"/>
      <c r="H432" s="16"/>
      <c r="I432" s="19"/>
      <c r="J432" s="33" t="str">
        <f t="shared" si="14"/>
        <v>-030-039-044-051-082-084-090-093-095-096-097-098-171-180-250-283-322-325-328-330-356-384-409-415-420-444-514-580-4027-4029-</v>
      </c>
      <c r="K432" s="33" t="str">
        <f t="shared" si="15"/>
        <v/>
      </c>
      <c r="L432" s="7"/>
      <c r="M432" s="8"/>
      <c r="N432" s="9"/>
    </row>
    <row r="433" spans="1:14" ht="125" x14ac:dyDescent="0.35">
      <c r="A433" s="16"/>
      <c r="B433" s="25"/>
      <c r="C433" s="26"/>
      <c r="D433" s="16"/>
      <c r="E433" s="25"/>
      <c r="F433" s="19"/>
      <c r="G433" s="19"/>
      <c r="H433" s="16"/>
      <c r="I433" s="19"/>
      <c r="J433" s="33" t="str">
        <f t="shared" si="14"/>
        <v>-030-039-044-051-082-084-090-093-095-096-097-098-171-180-250-283-322-325-328-330-356-384-409-415-420-444-514-580-4027-4029-</v>
      </c>
      <c r="K433" s="33" t="str">
        <f t="shared" si="15"/>
        <v/>
      </c>
      <c r="L433" s="7"/>
      <c r="M433" s="8"/>
      <c r="N433" s="9"/>
    </row>
    <row r="434" spans="1:14" ht="14.5" customHeight="1" x14ac:dyDescent="0.35">
      <c r="A434" s="16" t="s">
        <v>122</v>
      </c>
      <c r="B434" s="25" t="s">
        <v>344</v>
      </c>
      <c r="C434" s="26" t="s">
        <v>112</v>
      </c>
      <c r="D434" s="16"/>
      <c r="E434" s="25" t="s">
        <v>345</v>
      </c>
      <c r="F434" s="27" t="s">
        <v>346</v>
      </c>
      <c r="G434" s="27"/>
      <c r="H434" s="16" t="s">
        <v>57</v>
      </c>
      <c r="I434" s="19" t="s">
        <v>83</v>
      </c>
      <c r="J434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4" s="33" t="str">
        <f t="shared" si="15"/>
        <v>x</v>
      </c>
      <c r="L434" s="7">
        <v>419396</v>
      </c>
      <c r="M434" s="8" t="s">
        <v>113</v>
      </c>
      <c r="N434" s="9" t="s">
        <v>347</v>
      </c>
    </row>
    <row r="435" spans="1:14" ht="237.5" x14ac:dyDescent="0.35">
      <c r="A435" s="16"/>
      <c r="B435" s="25"/>
      <c r="C435" s="26"/>
      <c r="D435" s="16"/>
      <c r="E435" s="25"/>
      <c r="F435" s="19"/>
      <c r="G435" s="19"/>
      <c r="H435" s="16"/>
      <c r="I435" s="19"/>
      <c r="J435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5" s="33" t="str">
        <f t="shared" si="15"/>
        <v>x</v>
      </c>
      <c r="L435" s="7">
        <v>3640324</v>
      </c>
      <c r="M435" s="8" t="s">
        <v>114</v>
      </c>
      <c r="N435" s="9" t="s">
        <v>347</v>
      </c>
    </row>
    <row r="436" spans="1:14" ht="237.5" x14ac:dyDescent="0.35">
      <c r="A436" s="16"/>
      <c r="B436" s="25"/>
      <c r="C436" s="26"/>
      <c r="D436" s="16"/>
      <c r="E436" s="25"/>
      <c r="F436" s="19"/>
      <c r="G436" s="19"/>
      <c r="H436" s="16"/>
      <c r="I436" s="19"/>
      <c r="J436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6" s="33" t="str">
        <f t="shared" si="15"/>
        <v>x</v>
      </c>
      <c r="L436" s="7">
        <v>309034</v>
      </c>
      <c r="M436" s="8" t="s">
        <v>115</v>
      </c>
      <c r="N436" s="9" t="s">
        <v>347</v>
      </c>
    </row>
    <row r="437" spans="1:14" ht="237.5" x14ac:dyDescent="0.35">
      <c r="A437" s="16"/>
      <c r="B437" s="25"/>
      <c r="C437" s="26"/>
      <c r="D437" s="16"/>
      <c r="E437" s="25"/>
      <c r="F437" s="19"/>
      <c r="G437" s="19"/>
      <c r="H437" s="16"/>
      <c r="I437" s="19"/>
      <c r="J437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7" s="33" t="str">
        <f t="shared" si="15"/>
        <v>x</v>
      </c>
      <c r="L437" s="7">
        <v>47211</v>
      </c>
      <c r="M437" s="8" t="s">
        <v>116</v>
      </c>
      <c r="N437" s="9" t="s">
        <v>347</v>
      </c>
    </row>
    <row r="438" spans="1:14" ht="237.5" x14ac:dyDescent="0.35">
      <c r="A438" s="16"/>
      <c r="B438" s="25"/>
      <c r="C438" s="26"/>
      <c r="D438" s="16"/>
      <c r="E438" s="25"/>
      <c r="F438" s="19"/>
      <c r="G438" s="19"/>
      <c r="H438" s="16"/>
      <c r="I438" s="19"/>
      <c r="J438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8" s="33" t="str">
        <f t="shared" si="15"/>
        <v>x</v>
      </c>
      <c r="L438" s="7">
        <v>3298462</v>
      </c>
      <c r="M438" s="8" t="s">
        <v>117</v>
      </c>
      <c r="N438" s="9" t="s">
        <v>347</v>
      </c>
    </row>
    <row r="439" spans="1:14" ht="237.5" x14ac:dyDescent="0.35">
      <c r="A439" s="16"/>
      <c r="B439" s="25"/>
      <c r="C439" s="26"/>
      <c r="D439" s="16"/>
      <c r="E439" s="25"/>
      <c r="F439" s="19"/>
      <c r="G439" s="19"/>
      <c r="H439" s="16"/>
      <c r="I439" s="19"/>
      <c r="J439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39" s="33" t="str">
        <f t="shared" si="15"/>
        <v>x</v>
      </c>
      <c r="L439" s="7">
        <v>900029</v>
      </c>
      <c r="M439" s="8" t="s">
        <v>118</v>
      </c>
      <c r="N439" s="9" t="s">
        <v>361</v>
      </c>
    </row>
    <row r="440" spans="1:14" ht="237.5" x14ac:dyDescent="0.35">
      <c r="A440" s="16"/>
      <c r="B440" s="25"/>
      <c r="C440" s="26"/>
      <c r="D440" s="16"/>
      <c r="E440" s="25"/>
      <c r="F440" s="19"/>
      <c r="G440" s="19"/>
      <c r="H440" s="16"/>
      <c r="I440" s="19"/>
      <c r="J440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0" s="33" t="str">
        <f t="shared" si="15"/>
        <v>x</v>
      </c>
      <c r="L440" s="7">
        <v>13653</v>
      </c>
      <c r="M440" s="8" t="s">
        <v>119</v>
      </c>
      <c r="N440" s="9" t="s">
        <v>359</v>
      </c>
    </row>
    <row r="441" spans="1:14" ht="237.5" x14ac:dyDescent="0.35">
      <c r="A441" s="16"/>
      <c r="B441" s="25"/>
      <c r="C441" s="26"/>
      <c r="D441" s="16"/>
      <c r="E441" s="25"/>
      <c r="F441" s="19"/>
      <c r="G441" s="19"/>
      <c r="H441" s="16"/>
      <c r="I441" s="19"/>
      <c r="J441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1" s="33" t="str">
        <f t="shared" si="15"/>
        <v>x</v>
      </c>
      <c r="L441" s="7">
        <v>13637</v>
      </c>
      <c r="M441" s="8" t="s">
        <v>120</v>
      </c>
      <c r="N441" s="9" t="s">
        <v>347</v>
      </c>
    </row>
    <row r="442" spans="1:14" ht="237.5" x14ac:dyDescent="0.35">
      <c r="A442" s="16"/>
      <c r="B442" s="25"/>
      <c r="C442" s="26"/>
      <c r="D442" s="16"/>
      <c r="E442" s="25"/>
      <c r="F442" s="19"/>
      <c r="G442" s="19"/>
      <c r="H442" s="16"/>
      <c r="I442" s="19"/>
      <c r="J442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2" s="33" t="str">
        <f t="shared" si="15"/>
        <v/>
      </c>
      <c r="L442" s="7"/>
      <c r="M442" s="8"/>
      <c r="N442" s="9"/>
    </row>
    <row r="443" spans="1:14" ht="237.5" x14ac:dyDescent="0.35">
      <c r="A443" s="16"/>
      <c r="B443" s="25"/>
      <c r="C443" s="26"/>
      <c r="D443" s="16"/>
      <c r="E443" s="25"/>
      <c r="F443" s="19"/>
      <c r="G443" s="19"/>
      <c r="H443" s="16"/>
      <c r="I443" s="19"/>
      <c r="J443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3" s="33" t="str">
        <f t="shared" si="15"/>
        <v/>
      </c>
      <c r="L443" s="7"/>
      <c r="M443" s="8"/>
      <c r="N443" s="9"/>
    </row>
    <row r="444" spans="1:14" ht="237.5" x14ac:dyDescent="0.35">
      <c r="A444" s="16"/>
      <c r="B444" s="25"/>
      <c r="C444" s="26"/>
      <c r="D444" s="16"/>
      <c r="E444" s="25"/>
      <c r="F444" s="19"/>
      <c r="G444" s="19"/>
      <c r="H444" s="16"/>
      <c r="I444" s="19"/>
      <c r="J444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4" s="33" t="str">
        <f t="shared" si="15"/>
        <v/>
      </c>
      <c r="L444" s="7"/>
      <c r="M444" s="8"/>
      <c r="N444" s="9"/>
    </row>
    <row r="445" spans="1:14" ht="237.5" x14ac:dyDescent="0.35">
      <c r="A445" s="16"/>
      <c r="B445" s="25"/>
      <c r="C445" s="26"/>
      <c r="D445" s="16"/>
      <c r="E445" s="25"/>
      <c r="F445" s="19"/>
      <c r="G445" s="19"/>
      <c r="H445" s="16"/>
      <c r="I445" s="19"/>
      <c r="J445" s="33" t="str">
        <f t="shared" si="14"/>
        <v>-030-033-044-045-053-073-075-086-089-095-096-097-135-156-158-171-172-175-180-258-259-262-266-275-281-282-289-290-302-307-322-328-330-352-358-363-368-370-376-379-383-385-402-409-422-435-483-502-554-556-578-620-628-650-4025-4028-</v>
      </c>
      <c r="K445" s="33" t="str">
        <f t="shared" si="15"/>
        <v/>
      </c>
      <c r="L445" s="7"/>
      <c r="M445" s="8"/>
      <c r="N445" s="9"/>
    </row>
    <row r="446" spans="1:14" ht="125" x14ac:dyDescent="0.35">
      <c r="A446" s="16">
        <v>403</v>
      </c>
      <c r="B446" s="25" t="s">
        <v>344</v>
      </c>
      <c r="C446" s="26" t="s">
        <v>123</v>
      </c>
      <c r="D446" s="16"/>
      <c r="E446" s="25" t="s">
        <v>345</v>
      </c>
      <c r="F446" s="27" t="s">
        <v>346</v>
      </c>
      <c r="G446" s="27"/>
      <c r="H446" s="16" t="s">
        <v>17</v>
      </c>
      <c r="I446" s="19" t="s">
        <v>18</v>
      </c>
      <c r="J446" s="33" t="str">
        <f t="shared" si="14"/>
        <v>-030-039-044-051-082-084-090-093-095-096-097-098-171-180-250-283-322-325-328-330-356-384-409-415-420-444-514-580-4027-4029-</v>
      </c>
      <c r="K446" s="33" t="str">
        <f t="shared" si="15"/>
        <v>x</v>
      </c>
      <c r="L446" s="7">
        <v>3452376</v>
      </c>
      <c r="M446" s="8" t="s">
        <v>124</v>
      </c>
      <c r="N446" s="9" t="s">
        <v>347</v>
      </c>
    </row>
    <row r="447" spans="1:14" ht="125" x14ac:dyDescent="0.35">
      <c r="A447" s="16"/>
      <c r="B447" s="25"/>
      <c r="C447" s="26"/>
      <c r="D447" s="16"/>
      <c r="E447" s="25"/>
      <c r="F447" s="19"/>
      <c r="G447" s="19"/>
      <c r="H447" s="16"/>
      <c r="I447" s="19"/>
      <c r="J447" s="33" t="str">
        <f t="shared" si="14"/>
        <v>-030-039-044-051-082-084-090-093-095-096-097-098-171-180-250-283-322-325-328-330-356-384-409-415-420-444-514-580-4027-4029-</v>
      </c>
      <c r="K447" s="33" t="str">
        <f t="shared" si="15"/>
        <v>x</v>
      </c>
      <c r="L447" s="7">
        <v>215766</v>
      </c>
      <c r="M447" s="8" t="s">
        <v>125</v>
      </c>
      <c r="N447" s="9" t="s">
        <v>347</v>
      </c>
    </row>
    <row r="448" spans="1:14" ht="125" x14ac:dyDescent="0.35">
      <c r="A448" s="16"/>
      <c r="B448" s="25"/>
      <c r="C448" s="26"/>
      <c r="D448" s="16"/>
      <c r="E448" s="25"/>
      <c r="F448" s="19"/>
      <c r="G448" s="19"/>
      <c r="H448" s="16"/>
      <c r="I448" s="19"/>
      <c r="J448" s="33" t="str">
        <f t="shared" si="14"/>
        <v>-030-039-044-051-082-084-090-093-095-096-097-098-171-180-250-283-322-325-328-330-356-384-409-415-420-444-514-580-4027-4029-</v>
      </c>
      <c r="K448" s="33" t="str">
        <f t="shared" si="15"/>
        <v>x</v>
      </c>
      <c r="L448" s="7">
        <v>3380162</v>
      </c>
      <c r="M448" s="8" t="s">
        <v>126</v>
      </c>
      <c r="N448" s="9" t="s">
        <v>347</v>
      </c>
    </row>
    <row r="449" spans="1:14" ht="125" x14ac:dyDescent="0.35">
      <c r="A449" s="16"/>
      <c r="B449" s="25"/>
      <c r="C449" s="26"/>
      <c r="D449" s="16"/>
      <c r="E449" s="25"/>
      <c r="F449" s="19"/>
      <c r="G449" s="19"/>
      <c r="H449" s="16"/>
      <c r="I449" s="19"/>
      <c r="J449" s="33" t="str">
        <f t="shared" si="14"/>
        <v>-030-039-044-051-082-084-090-093-095-096-097-098-171-180-250-283-322-325-328-330-356-384-409-415-420-444-514-580-4027-4029-</v>
      </c>
      <c r="K449" s="33" t="str">
        <f t="shared" si="15"/>
        <v>x</v>
      </c>
      <c r="L449" s="7">
        <v>973977</v>
      </c>
      <c r="M449" s="8" t="s">
        <v>127</v>
      </c>
      <c r="N449" s="9" t="s">
        <v>347</v>
      </c>
    </row>
    <row r="450" spans="1:14" ht="125" x14ac:dyDescent="0.35">
      <c r="A450" s="16"/>
      <c r="B450" s="25"/>
      <c r="C450" s="26"/>
      <c r="D450" s="16"/>
      <c r="E450" s="25"/>
      <c r="F450" s="19"/>
      <c r="G450" s="19"/>
      <c r="H450" s="16"/>
      <c r="I450" s="19"/>
      <c r="J450" s="33" t="str">
        <f t="shared" si="14"/>
        <v>-030-039-044-051-082-084-090-093-095-096-097-098-171-180-250-283-322-325-328-330-356-384-409-415-420-444-514-580-4027-4029-</v>
      </c>
      <c r="K450" s="33" t="str">
        <f t="shared" si="15"/>
        <v/>
      </c>
      <c r="L450" s="7"/>
      <c r="M450" s="8"/>
      <c r="N450" s="9"/>
    </row>
    <row r="451" spans="1:14" ht="125" x14ac:dyDescent="0.35">
      <c r="A451" s="16"/>
      <c r="B451" s="25"/>
      <c r="C451" s="26"/>
      <c r="D451" s="16"/>
      <c r="E451" s="25"/>
      <c r="F451" s="19"/>
      <c r="G451" s="19"/>
      <c r="H451" s="16"/>
      <c r="I451" s="19"/>
      <c r="J451" s="33" t="str">
        <f t="shared" si="14"/>
        <v>-030-039-044-051-082-084-090-093-095-096-097-098-171-180-250-283-322-325-328-330-356-384-409-415-420-444-514-580-4027-4029-</v>
      </c>
      <c r="K451" s="33" t="str">
        <f t="shared" si="15"/>
        <v/>
      </c>
      <c r="L451" s="7"/>
      <c r="M451" s="8"/>
      <c r="N451" s="9"/>
    </row>
    <row r="452" spans="1:14" ht="125" x14ac:dyDescent="0.35">
      <c r="A452" s="16"/>
      <c r="B452" s="25"/>
      <c r="C452" s="26"/>
      <c r="D452" s="16"/>
      <c r="E452" s="25"/>
      <c r="F452" s="19"/>
      <c r="G452" s="19"/>
      <c r="H452" s="16"/>
      <c r="I452" s="19"/>
      <c r="J452" s="33" t="str">
        <f t="shared" si="14"/>
        <v>-030-039-044-051-082-084-090-093-095-096-097-098-171-180-250-283-322-325-328-330-356-384-409-415-420-444-514-580-4027-4029-</v>
      </c>
      <c r="K452" s="33" t="str">
        <f t="shared" si="15"/>
        <v/>
      </c>
      <c r="L452" s="7"/>
      <c r="M452" s="8"/>
      <c r="N452" s="9"/>
    </row>
    <row r="453" spans="1:14" ht="125" x14ac:dyDescent="0.35">
      <c r="A453" s="16"/>
      <c r="B453" s="25"/>
      <c r="C453" s="26"/>
      <c r="D453" s="16"/>
      <c r="E453" s="25"/>
      <c r="F453" s="19"/>
      <c r="G453" s="19"/>
      <c r="H453" s="16"/>
      <c r="I453" s="19"/>
      <c r="J453" s="33" t="str">
        <f t="shared" si="14"/>
        <v>-030-039-044-051-082-084-090-093-095-096-097-098-171-180-250-283-322-325-328-330-356-384-409-415-420-444-514-580-4027-4029-</v>
      </c>
      <c r="K453" s="33" t="str">
        <f t="shared" si="15"/>
        <v/>
      </c>
      <c r="L453" s="7"/>
      <c r="M453" s="8"/>
      <c r="N453" s="9"/>
    </row>
    <row r="454" spans="1:14" ht="125" x14ac:dyDescent="0.35">
      <c r="A454" s="16"/>
      <c r="B454" s="25"/>
      <c r="C454" s="26"/>
      <c r="D454" s="16"/>
      <c r="E454" s="25"/>
      <c r="F454" s="19"/>
      <c r="G454" s="19"/>
      <c r="H454" s="16"/>
      <c r="I454" s="19"/>
      <c r="J454" s="33" t="str">
        <f t="shared" ref="J454:J517" si="16">IF(I454&lt;&gt;"","-"&amp;I454&amp;"-",J453)</f>
        <v>-030-039-044-051-082-084-090-093-095-096-097-098-171-180-250-283-322-325-328-330-356-384-409-415-420-444-514-580-4027-4029-</v>
      </c>
      <c r="K454" s="33" t="str">
        <f t="shared" ref="K454:K517" si="17">IF(L454="","",IF(J454="TODOS ÉXITO A NIVEL NACIONAL-","x",IFERROR(IF(VALUE(IF(L454="","",FIND($AJ$2,J454,1)))&lt;&gt;"","x",""),"")))</f>
        <v/>
      </c>
      <c r="L454" s="7"/>
      <c r="M454" s="8"/>
      <c r="N454" s="9"/>
    </row>
    <row r="455" spans="1:14" ht="125" x14ac:dyDescent="0.35">
      <c r="A455" s="16"/>
      <c r="B455" s="25"/>
      <c r="C455" s="26"/>
      <c r="D455" s="16"/>
      <c r="E455" s="25"/>
      <c r="F455" s="19"/>
      <c r="G455" s="19"/>
      <c r="H455" s="16"/>
      <c r="I455" s="19"/>
      <c r="J455" s="33" t="str">
        <f t="shared" si="16"/>
        <v>-030-039-044-051-082-084-090-093-095-096-097-098-171-180-250-283-322-325-328-330-356-384-409-415-420-444-514-580-4027-4029-</v>
      </c>
      <c r="K455" s="33" t="str">
        <f t="shared" si="17"/>
        <v/>
      </c>
      <c r="L455" s="7"/>
      <c r="M455" s="8"/>
      <c r="N455" s="9"/>
    </row>
    <row r="456" spans="1:14" ht="125" x14ac:dyDescent="0.35">
      <c r="A456" s="16"/>
      <c r="B456" s="25"/>
      <c r="C456" s="26"/>
      <c r="D456" s="16"/>
      <c r="E456" s="25"/>
      <c r="F456" s="19"/>
      <c r="G456" s="19"/>
      <c r="H456" s="16"/>
      <c r="I456" s="19"/>
      <c r="J456" s="33" t="str">
        <f t="shared" si="16"/>
        <v>-030-039-044-051-082-084-090-093-095-096-097-098-171-180-250-283-322-325-328-330-356-384-409-415-420-444-514-580-4027-4029-</v>
      </c>
      <c r="K456" s="33" t="str">
        <f t="shared" si="17"/>
        <v/>
      </c>
      <c r="L456" s="7"/>
      <c r="M456" s="8"/>
      <c r="N456" s="9"/>
    </row>
    <row r="457" spans="1:14" ht="125" x14ac:dyDescent="0.35">
      <c r="A457" s="16"/>
      <c r="B457" s="25"/>
      <c r="C457" s="26"/>
      <c r="D457" s="16"/>
      <c r="E457" s="25"/>
      <c r="F457" s="19"/>
      <c r="G457" s="19"/>
      <c r="H457" s="16"/>
      <c r="I457" s="19"/>
      <c r="J457" s="33" t="str">
        <f t="shared" si="16"/>
        <v>-030-039-044-051-082-084-090-093-095-096-097-098-171-180-250-283-322-325-328-330-356-384-409-415-420-444-514-580-4027-4029-</v>
      </c>
      <c r="K457" s="33" t="str">
        <f t="shared" si="17"/>
        <v/>
      </c>
      <c r="L457" s="7"/>
      <c r="M457" s="8"/>
      <c r="N457" s="9"/>
    </row>
    <row r="458" spans="1:14" ht="237.5" x14ac:dyDescent="0.35">
      <c r="A458" s="16" t="s">
        <v>132</v>
      </c>
      <c r="B458" s="25" t="s">
        <v>344</v>
      </c>
      <c r="C458" s="26" t="s">
        <v>123</v>
      </c>
      <c r="D458" s="16"/>
      <c r="E458" s="25" t="s">
        <v>345</v>
      </c>
      <c r="F458" s="27" t="s">
        <v>346</v>
      </c>
      <c r="G458" s="27"/>
      <c r="H458" s="16" t="s">
        <v>57</v>
      </c>
      <c r="I458" s="19" t="s">
        <v>83</v>
      </c>
      <c r="J458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58" s="33" t="str">
        <f t="shared" si="17"/>
        <v>x</v>
      </c>
      <c r="L458" s="7">
        <v>3452376</v>
      </c>
      <c r="M458" s="8" t="s">
        <v>124</v>
      </c>
      <c r="N458" s="9" t="s">
        <v>347</v>
      </c>
    </row>
    <row r="459" spans="1:14" ht="237.5" x14ac:dyDescent="0.35">
      <c r="A459" s="16"/>
      <c r="B459" s="25"/>
      <c r="C459" s="26"/>
      <c r="D459" s="16"/>
      <c r="E459" s="25"/>
      <c r="F459" s="19"/>
      <c r="G459" s="19"/>
      <c r="H459" s="16"/>
      <c r="I459" s="19"/>
      <c r="J459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59" s="33" t="str">
        <f t="shared" si="17"/>
        <v>x</v>
      </c>
      <c r="L459" s="7">
        <v>215766</v>
      </c>
      <c r="M459" s="8" t="s">
        <v>125</v>
      </c>
      <c r="N459" s="9" t="s">
        <v>347</v>
      </c>
    </row>
    <row r="460" spans="1:14" ht="237.5" x14ac:dyDescent="0.35">
      <c r="A460" s="16"/>
      <c r="B460" s="25"/>
      <c r="C460" s="26"/>
      <c r="D460" s="16"/>
      <c r="E460" s="25"/>
      <c r="F460" s="19"/>
      <c r="G460" s="19"/>
      <c r="H460" s="16"/>
      <c r="I460" s="19"/>
      <c r="J460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0" s="33" t="str">
        <f t="shared" si="17"/>
        <v>x</v>
      </c>
      <c r="L460" s="7">
        <v>3380162</v>
      </c>
      <c r="M460" s="8" t="s">
        <v>126</v>
      </c>
      <c r="N460" s="9" t="s">
        <v>347</v>
      </c>
    </row>
    <row r="461" spans="1:14" ht="237.5" x14ac:dyDescent="0.35">
      <c r="A461" s="16"/>
      <c r="B461" s="25"/>
      <c r="C461" s="26"/>
      <c r="D461" s="16"/>
      <c r="E461" s="25"/>
      <c r="F461" s="19"/>
      <c r="G461" s="19"/>
      <c r="H461" s="16"/>
      <c r="I461" s="19"/>
      <c r="J461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1" s="33" t="str">
        <f t="shared" si="17"/>
        <v>x</v>
      </c>
      <c r="L461" s="7">
        <v>973977</v>
      </c>
      <c r="M461" s="8" t="s">
        <v>127</v>
      </c>
      <c r="N461" s="9" t="s">
        <v>347</v>
      </c>
    </row>
    <row r="462" spans="1:14" ht="237.5" x14ac:dyDescent="0.35">
      <c r="A462" s="16"/>
      <c r="B462" s="25"/>
      <c r="C462" s="26"/>
      <c r="D462" s="16"/>
      <c r="E462" s="25"/>
      <c r="F462" s="19"/>
      <c r="G462" s="19"/>
      <c r="H462" s="16"/>
      <c r="I462" s="19"/>
      <c r="J462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2" s="33" t="str">
        <f t="shared" si="17"/>
        <v>x</v>
      </c>
      <c r="L462" s="7">
        <v>304612</v>
      </c>
      <c r="M462" s="8" t="s">
        <v>128</v>
      </c>
      <c r="N462" s="9" t="s">
        <v>347</v>
      </c>
    </row>
    <row r="463" spans="1:14" ht="237.5" x14ac:dyDescent="0.35">
      <c r="A463" s="16"/>
      <c r="B463" s="25"/>
      <c r="C463" s="26"/>
      <c r="D463" s="16"/>
      <c r="E463" s="25"/>
      <c r="F463" s="19"/>
      <c r="G463" s="19"/>
      <c r="H463" s="16"/>
      <c r="I463" s="19"/>
      <c r="J463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3" s="33" t="str">
        <f t="shared" si="17"/>
        <v>x</v>
      </c>
      <c r="L463" s="7">
        <v>25273</v>
      </c>
      <c r="M463" s="8" t="s">
        <v>129</v>
      </c>
      <c r="N463" s="9" t="s">
        <v>359</v>
      </c>
    </row>
    <row r="464" spans="1:14" ht="237.5" x14ac:dyDescent="0.35">
      <c r="A464" s="16"/>
      <c r="B464" s="25"/>
      <c r="C464" s="26"/>
      <c r="D464" s="16"/>
      <c r="E464" s="25"/>
      <c r="F464" s="19"/>
      <c r="G464" s="19"/>
      <c r="H464" s="16"/>
      <c r="I464" s="19"/>
      <c r="J464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4" s="33" t="str">
        <f t="shared" si="17"/>
        <v>x</v>
      </c>
      <c r="L464" s="7">
        <v>3538227</v>
      </c>
      <c r="M464" s="8" t="s">
        <v>130</v>
      </c>
      <c r="N464" s="9" t="s">
        <v>359</v>
      </c>
    </row>
    <row r="465" spans="1:14" ht="237.5" x14ac:dyDescent="0.35">
      <c r="A465" s="16"/>
      <c r="B465" s="25"/>
      <c r="C465" s="26"/>
      <c r="D465" s="16"/>
      <c r="E465" s="25"/>
      <c r="F465" s="19"/>
      <c r="G465" s="19"/>
      <c r="H465" s="16"/>
      <c r="I465" s="19"/>
      <c r="J465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5" s="33" t="str">
        <f t="shared" si="17"/>
        <v/>
      </c>
      <c r="L465" s="7"/>
      <c r="M465" s="8"/>
      <c r="N465" s="9"/>
    </row>
    <row r="466" spans="1:14" ht="237.5" x14ac:dyDescent="0.35">
      <c r="A466" s="16"/>
      <c r="B466" s="25"/>
      <c r="C466" s="26"/>
      <c r="D466" s="16"/>
      <c r="E466" s="25"/>
      <c r="F466" s="19"/>
      <c r="G466" s="19"/>
      <c r="H466" s="16"/>
      <c r="I466" s="19"/>
      <c r="J466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6" s="33" t="str">
        <f t="shared" si="17"/>
        <v/>
      </c>
      <c r="L466" s="7"/>
      <c r="M466" s="8"/>
      <c r="N466" s="9"/>
    </row>
    <row r="467" spans="1:14" ht="237.5" x14ac:dyDescent="0.35">
      <c r="A467" s="16"/>
      <c r="B467" s="25"/>
      <c r="C467" s="26"/>
      <c r="D467" s="16"/>
      <c r="E467" s="25"/>
      <c r="F467" s="19"/>
      <c r="G467" s="19"/>
      <c r="H467" s="16"/>
      <c r="I467" s="19"/>
      <c r="J467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7" s="33" t="str">
        <f t="shared" si="17"/>
        <v/>
      </c>
      <c r="L467" s="7"/>
      <c r="M467" s="8"/>
      <c r="N467" s="9"/>
    </row>
    <row r="468" spans="1:14" ht="237.5" x14ac:dyDescent="0.35">
      <c r="A468" s="16"/>
      <c r="B468" s="25"/>
      <c r="C468" s="26"/>
      <c r="D468" s="16"/>
      <c r="E468" s="25"/>
      <c r="F468" s="19"/>
      <c r="G468" s="19"/>
      <c r="H468" s="16"/>
      <c r="I468" s="19"/>
      <c r="J468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8" s="33" t="str">
        <f t="shared" si="17"/>
        <v/>
      </c>
      <c r="L468" s="7"/>
      <c r="M468" s="8"/>
      <c r="N468" s="9"/>
    </row>
    <row r="469" spans="1:14" ht="237.5" x14ac:dyDescent="0.35">
      <c r="A469" s="16"/>
      <c r="B469" s="25"/>
      <c r="C469" s="26"/>
      <c r="D469" s="16"/>
      <c r="E469" s="25"/>
      <c r="F469" s="19"/>
      <c r="G469" s="19"/>
      <c r="H469" s="16"/>
      <c r="I469" s="19"/>
      <c r="J469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69" s="33" t="str">
        <f t="shared" si="17"/>
        <v/>
      </c>
      <c r="L469" s="7"/>
      <c r="M469" s="8"/>
      <c r="N469" s="9"/>
    </row>
    <row r="470" spans="1:14" ht="125" x14ac:dyDescent="0.35">
      <c r="A470" s="16" t="s">
        <v>163</v>
      </c>
      <c r="B470" s="25" t="s">
        <v>344</v>
      </c>
      <c r="C470" s="26" t="s">
        <v>164</v>
      </c>
      <c r="D470" s="16"/>
      <c r="E470" s="25" t="s">
        <v>345</v>
      </c>
      <c r="F470" s="27" t="s">
        <v>346</v>
      </c>
      <c r="G470" s="27"/>
      <c r="H470" s="16" t="s">
        <v>17</v>
      </c>
      <c r="I470" s="19" t="s">
        <v>18</v>
      </c>
      <c r="J470" s="33" t="str">
        <f t="shared" si="16"/>
        <v>-030-039-044-051-082-084-090-093-095-096-097-098-171-180-250-283-322-325-328-330-356-384-409-415-420-444-514-580-4027-4029-</v>
      </c>
      <c r="K470" s="33" t="str">
        <f t="shared" si="17"/>
        <v>x</v>
      </c>
      <c r="L470" s="7">
        <v>1627416</v>
      </c>
      <c r="M470" s="8" t="s">
        <v>165</v>
      </c>
      <c r="N470" s="9" t="s">
        <v>356</v>
      </c>
    </row>
    <row r="471" spans="1:14" ht="125" x14ac:dyDescent="0.35">
      <c r="A471" s="16"/>
      <c r="B471" s="25"/>
      <c r="C471" s="26"/>
      <c r="D471" s="16"/>
      <c r="E471" s="25"/>
      <c r="F471" s="19"/>
      <c r="G471" s="19"/>
      <c r="H471" s="16"/>
      <c r="I471" s="19"/>
      <c r="J471" s="33" t="str">
        <f t="shared" si="16"/>
        <v>-030-039-044-051-082-084-090-093-095-096-097-098-171-180-250-283-322-325-328-330-356-384-409-415-420-444-514-580-4027-4029-</v>
      </c>
      <c r="K471" s="33" t="str">
        <f t="shared" si="17"/>
        <v>x</v>
      </c>
      <c r="L471" s="7">
        <v>3529363</v>
      </c>
      <c r="M471" s="8" t="s">
        <v>166</v>
      </c>
      <c r="N471" s="9" t="s">
        <v>356</v>
      </c>
    </row>
    <row r="472" spans="1:14" ht="125" x14ac:dyDescent="0.35">
      <c r="A472" s="16"/>
      <c r="B472" s="25"/>
      <c r="C472" s="26"/>
      <c r="D472" s="16"/>
      <c r="E472" s="25"/>
      <c r="F472" s="19"/>
      <c r="G472" s="19"/>
      <c r="H472" s="16"/>
      <c r="I472" s="19"/>
      <c r="J472" s="33" t="str">
        <f t="shared" si="16"/>
        <v>-030-039-044-051-082-084-090-093-095-096-097-098-171-180-250-283-322-325-328-330-356-384-409-415-420-444-514-580-4027-4029-</v>
      </c>
      <c r="K472" s="33" t="str">
        <f t="shared" si="17"/>
        <v>x</v>
      </c>
      <c r="L472" s="7">
        <v>3474911</v>
      </c>
      <c r="M472" s="8" t="s">
        <v>167</v>
      </c>
      <c r="N472" s="9" t="s">
        <v>356</v>
      </c>
    </row>
    <row r="473" spans="1:14" ht="125" x14ac:dyDescent="0.35">
      <c r="A473" s="16"/>
      <c r="B473" s="25"/>
      <c r="C473" s="26"/>
      <c r="D473" s="16"/>
      <c r="E473" s="25"/>
      <c r="F473" s="19"/>
      <c r="G473" s="19"/>
      <c r="H473" s="16"/>
      <c r="I473" s="19"/>
      <c r="J473" s="33" t="str">
        <f t="shared" si="16"/>
        <v>-030-039-044-051-082-084-090-093-095-096-097-098-171-180-250-283-322-325-328-330-356-384-409-415-420-444-514-580-4027-4029-</v>
      </c>
      <c r="K473" s="33" t="str">
        <f t="shared" si="17"/>
        <v>x</v>
      </c>
      <c r="L473" s="7">
        <v>1443507</v>
      </c>
      <c r="M473" s="8" t="s">
        <v>168</v>
      </c>
      <c r="N473" s="9" t="s">
        <v>38</v>
      </c>
    </row>
    <row r="474" spans="1:14" ht="125" x14ac:dyDescent="0.35">
      <c r="A474" s="16"/>
      <c r="B474" s="25"/>
      <c r="C474" s="26"/>
      <c r="D474" s="16"/>
      <c r="E474" s="25"/>
      <c r="F474" s="19"/>
      <c r="G474" s="19"/>
      <c r="H474" s="16"/>
      <c r="I474" s="19"/>
      <c r="J474" s="33" t="str">
        <f t="shared" si="16"/>
        <v>-030-039-044-051-082-084-090-093-095-096-097-098-171-180-250-283-322-325-328-330-356-384-409-415-420-444-514-580-4027-4029-</v>
      </c>
      <c r="K474" s="33" t="str">
        <f t="shared" si="17"/>
        <v>x</v>
      </c>
      <c r="L474" s="7">
        <v>987616</v>
      </c>
      <c r="M474" s="8" t="s">
        <v>169</v>
      </c>
      <c r="N474" s="9" t="s">
        <v>361</v>
      </c>
    </row>
    <row r="475" spans="1:14" ht="125" x14ac:dyDescent="0.35">
      <c r="A475" s="16"/>
      <c r="B475" s="25"/>
      <c r="C475" s="26"/>
      <c r="D475" s="16"/>
      <c r="E475" s="25"/>
      <c r="F475" s="19"/>
      <c r="G475" s="19"/>
      <c r="H475" s="16"/>
      <c r="I475" s="19"/>
      <c r="J475" s="33" t="str">
        <f t="shared" si="16"/>
        <v>-030-039-044-051-082-084-090-093-095-096-097-098-171-180-250-283-322-325-328-330-356-384-409-415-420-444-514-580-4027-4029-</v>
      </c>
      <c r="K475" s="33" t="str">
        <f t="shared" si="17"/>
        <v>x</v>
      </c>
      <c r="L475" s="7">
        <v>1344585</v>
      </c>
      <c r="M475" s="8" t="s">
        <v>170</v>
      </c>
      <c r="N475" s="9" t="s">
        <v>38</v>
      </c>
    </row>
    <row r="476" spans="1:14" ht="125" x14ac:dyDescent="0.35">
      <c r="A476" s="16"/>
      <c r="B476" s="25"/>
      <c r="C476" s="26"/>
      <c r="D476" s="16"/>
      <c r="E476" s="25"/>
      <c r="F476" s="19"/>
      <c r="G476" s="19"/>
      <c r="H476" s="16"/>
      <c r="I476" s="19"/>
      <c r="J476" s="33" t="str">
        <f t="shared" si="16"/>
        <v>-030-039-044-051-082-084-090-093-095-096-097-098-171-180-250-283-322-325-328-330-356-384-409-415-420-444-514-580-4027-4029-</v>
      </c>
      <c r="K476" s="33" t="str">
        <f t="shared" si="17"/>
        <v>x</v>
      </c>
      <c r="L476" s="7">
        <v>609138</v>
      </c>
      <c r="M476" s="8" t="s">
        <v>171</v>
      </c>
      <c r="N476" s="9" t="s">
        <v>347</v>
      </c>
    </row>
    <row r="477" spans="1:14" ht="125" x14ac:dyDescent="0.35">
      <c r="A477" s="16"/>
      <c r="B477" s="25"/>
      <c r="C477" s="26"/>
      <c r="D477" s="16"/>
      <c r="E477" s="25"/>
      <c r="F477" s="19"/>
      <c r="G477" s="19"/>
      <c r="H477" s="16"/>
      <c r="I477" s="19"/>
      <c r="J477" s="33" t="str">
        <f t="shared" si="16"/>
        <v>-030-039-044-051-082-084-090-093-095-096-097-098-171-180-250-283-322-325-328-330-356-384-409-415-420-444-514-580-4027-4029-</v>
      </c>
      <c r="K477" s="33" t="str">
        <f t="shared" si="17"/>
        <v/>
      </c>
      <c r="L477" s="7"/>
      <c r="M477" s="8"/>
      <c r="N477" s="9"/>
    </row>
    <row r="478" spans="1:14" ht="125" x14ac:dyDescent="0.35">
      <c r="A478" s="16"/>
      <c r="B478" s="25"/>
      <c r="C478" s="26"/>
      <c r="D478" s="16"/>
      <c r="E478" s="25"/>
      <c r="F478" s="19"/>
      <c r="G478" s="19"/>
      <c r="H478" s="16"/>
      <c r="I478" s="19"/>
      <c r="J478" s="33" t="str">
        <f t="shared" si="16"/>
        <v>-030-039-044-051-082-084-090-093-095-096-097-098-171-180-250-283-322-325-328-330-356-384-409-415-420-444-514-580-4027-4029-</v>
      </c>
      <c r="K478" s="33" t="str">
        <f t="shared" si="17"/>
        <v/>
      </c>
      <c r="L478" s="7"/>
      <c r="M478" s="8"/>
      <c r="N478" s="9"/>
    </row>
    <row r="479" spans="1:14" ht="125" x14ac:dyDescent="0.35">
      <c r="A479" s="16"/>
      <c r="B479" s="25"/>
      <c r="C479" s="26"/>
      <c r="D479" s="16"/>
      <c r="E479" s="25"/>
      <c r="F479" s="19"/>
      <c r="G479" s="19"/>
      <c r="H479" s="16"/>
      <c r="I479" s="19"/>
      <c r="J479" s="33" t="str">
        <f t="shared" si="16"/>
        <v>-030-039-044-051-082-084-090-093-095-096-097-098-171-180-250-283-322-325-328-330-356-384-409-415-420-444-514-580-4027-4029-</v>
      </c>
      <c r="K479" s="33" t="str">
        <f t="shared" si="17"/>
        <v/>
      </c>
      <c r="L479" s="7"/>
      <c r="M479" s="8"/>
      <c r="N479" s="9"/>
    </row>
    <row r="480" spans="1:14" ht="125" x14ac:dyDescent="0.35">
      <c r="A480" s="16"/>
      <c r="B480" s="25"/>
      <c r="C480" s="26"/>
      <c r="D480" s="16"/>
      <c r="E480" s="25"/>
      <c r="F480" s="19"/>
      <c r="G480" s="19"/>
      <c r="H480" s="16"/>
      <c r="I480" s="19"/>
      <c r="J480" s="33" t="str">
        <f t="shared" si="16"/>
        <v>-030-039-044-051-082-084-090-093-095-096-097-098-171-180-250-283-322-325-328-330-356-384-409-415-420-444-514-580-4027-4029-</v>
      </c>
      <c r="K480" s="33" t="str">
        <f t="shared" si="17"/>
        <v/>
      </c>
      <c r="L480" s="7"/>
      <c r="M480" s="8"/>
      <c r="N480" s="9"/>
    </row>
    <row r="481" spans="1:14" ht="125" x14ac:dyDescent="0.35">
      <c r="A481" s="16"/>
      <c r="B481" s="25"/>
      <c r="C481" s="26"/>
      <c r="D481" s="16"/>
      <c r="E481" s="25"/>
      <c r="F481" s="19"/>
      <c r="G481" s="19"/>
      <c r="H481" s="16"/>
      <c r="I481" s="19"/>
      <c r="J481" s="33" t="str">
        <f t="shared" si="16"/>
        <v>-030-039-044-051-082-084-090-093-095-096-097-098-171-180-250-283-322-325-328-330-356-384-409-415-420-444-514-580-4027-4029-</v>
      </c>
      <c r="K481" s="33" t="str">
        <f t="shared" si="17"/>
        <v/>
      </c>
      <c r="L481" s="7"/>
      <c r="M481" s="8"/>
      <c r="N481" s="9"/>
    </row>
    <row r="482" spans="1:14" ht="14.5" customHeight="1" x14ac:dyDescent="0.35">
      <c r="A482" s="16" t="s">
        <v>163</v>
      </c>
      <c r="B482" s="25" t="s">
        <v>344</v>
      </c>
      <c r="C482" s="26" t="s">
        <v>164</v>
      </c>
      <c r="D482" s="16"/>
      <c r="E482" s="25" t="s">
        <v>345</v>
      </c>
      <c r="F482" s="27" t="s">
        <v>346</v>
      </c>
      <c r="G482" s="27"/>
      <c r="H482" s="16" t="s">
        <v>57</v>
      </c>
      <c r="I482" s="19" t="s">
        <v>83</v>
      </c>
      <c r="J482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2" s="33" t="str">
        <f t="shared" si="17"/>
        <v>x</v>
      </c>
      <c r="L482" s="7">
        <v>1627416</v>
      </c>
      <c r="M482" s="8" t="s">
        <v>165</v>
      </c>
      <c r="N482" s="9" t="s">
        <v>356</v>
      </c>
    </row>
    <row r="483" spans="1:14" ht="237.5" x14ac:dyDescent="0.35">
      <c r="A483" s="16"/>
      <c r="B483" s="25"/>
      <c r="C483" s="26"/>
      <c r="D483" s="16"/>
      <c r="E483" s="25"/>
      <c r="F483" s="19"/>
      <c r="G483" s="19"/>
      <c r="H483" s="16"/>
      <c r="I483" s="19"/>
      <c r="J483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3" s="33" t="str">
        <f t="shared" si="17"/>
        <v>x</v>
      </c>
      <c r="L483" s="7">
        <v>3529363</v>
      </c>
      <c r="M483" s="8" t="s">
        <v>166</v>
      </c>
      <c r="N483" s="9" t="s">
        <v>356</v>
      </c>
    </row>
    <row r="484" spans="1:14" ht="237.5" x14ac:dyDescent="0.35">
      <c r="A484" s="16"/>
      <c r="B484" s="25"/>
      <c r="C484" s="26"/>
      <c r="D484" s="16"/>
      <c r="E484" s="25"/>
      <c r="F484" s="19"/>
      <c r="G484" s="19"/>
      <c r="H484" s="16"/>
      <c r="I484" s="19"/>
      <c r="J484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4" s="33" t="str">
        <f t="shared" si="17"/>
        <v>x</v>
      </c>
      <c r="L484" s="7">
        <v>3474911</v>
      </c>
      <c r="M484" s="8" t="s">
        <v>167</v>
      </c>
      <c r="N484" s="9" t="s">
        <v>356</v>
      </c>
    </row>
    <row r="485" spans="1:14" ht="237.5" x14ac:dyDescent="0.35">
      <c r="A485" s="16"/>
      <c r="B485" s="25"/>
      <c r="C485" s="26"/>
      <c r="D485" s="16"/>
      <c r="E485" s="25"/>
      <c r="F485" s="19"/>
      <c r="G485" s="19"/>
      <c r="H485" s="16"/>
      <c r="I485" s="19"/>
      <c r="J485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5" s="33" t="str">
        <f t="shared" si="17"/>
        <v>x</v>
      </c>
      <c r="L485" s="7">
        <v>1443507</v>
      </c>
      <c r="M485" s="8" t="s">
        <v>168</v>
      </c>
      <c r="N485" s="9" t="s">
        <v>38</v>
      </c>
    </row>
    <row r="486" spans="1:14" ht="237.5" x14ac:dyDescent="0.35">
      <c r="A486" s="16"/>
      <c r="B486" s="25"/>
      <c r="C486" s="26"/>
      <c r="D486" s="16"/>
      <c r="E486" s="25"/>
      <c r="F486" s="19"/>
      <c r="G486" s="19"/>
      <c r="H486" s="16"/>
      <c r="I486" s="19"/>
      <c r="J486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6" s="33" t="str">
        <f t="shared" si="17"/>
        <v>x</v>
      </c>
      <c r="L486" s="7">
        <v>987616</v>
      </c>
      <c r="M486" s="8" t="s">
        <v>169</v>
      </c>
      <c r="N486" s="9" t="s">
        <v>361</v>
      </c>
    </row>
    <row r="487" spans="1:14" ht="237.5" x14ac:dyDescent="0.35">
      <c r="A487" s="16"/>
      <c r="B487" s="25"/>
      <c r="C487" s="26"/>
      <c r="D487" s="16"/>
      <c r="E487" s="25"/>
      <c r="F487" s="19"/>
      <c r="G487" s="19"/>
      <c r="H487" s="16"/>
      <c r="I487" s="19"/>
      <c r="J487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7" s="33" t="str">
        <f t="shared" si="17"/>
        <v>x</v>
      </c>
      <c r="L487" s="7">
        <v>1344585</v>
      </c>
      <c r="M487" s="8" t="s">
        <v>170</v>
      </c>
      <c r="N487" s="9" t="s">
        <v>38</v>
      </c>
    </row>
    <row r="488" spans="1:14" ht="237.5" x14ac:dyDescent="0.35">
      <c r="A488" s="16"/>
      <c r="B488" s="25"/>
      <c r="C488" s="26"/>
      <c r="D488" s="16"/>
      <c r="E488" s="25"/>
      <c r="F488" s="19"/>
      <c r="G488" s="19"/>
      <c r="H488" s="16"/>
      <c r="I488" s="19"/>
      <c r="J488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8" s="33" t="str">
        <f t="shared" si="17"/>
        <v>x</v>
      </c>
      <c r="L488" s="7">
        <v>609138</v>
      </c>
      <c r="M488" s="8" t="s">
        <v>171</v>
      </c>
      <c r="N488" s="9" t="s">
        <v>347</v>
      </c>
    </row>
    <row r="489" spans="1:14" ht="237.5" x14ac:dyDescent="0.35">
      <c r="A489" s="16"/>
      <c r="B489" s="25"/>
      <c r="C489" s="26"/>
      <c r="D489" s="16"/>
      <c r="E489" s="25"/>
      <c r="F489" s="19"/>
      <c r="G489" s="19"/>
      <c r="H489" s="16"/>
      <c r="I489" s="19"/>
      <c r="J489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89" s="33" t="str">
        <f t="shared" si="17"/>
        <v>x</v>
      </c>
      <c r="L489" s="7">
        <v>1140185</v>
      </c>
      <c r="M489" s="8" t="s">
        <v>173</v>
      </c>
      <c r="N489" s="9" t="s">
        <v>347</v>
      </c>
    </row>
    <row r="490" spans="1:14" ht="237.5" x14ac:dyDescent="0.35">
      <c r="A490" s="16"/>
      <c r="B490" s="25"/>
      <c r="C490" s="26"/>
      <c r="D490" s="16"/>
      <c r="E490" s="25"/>
      <c r="F490" s="19"/>
      <c r="G490" s="19"/>
      <c r="H490" s="16"/>
      <c r="I490" s="19"/>
      <c r="J490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90" s="33" t="str">
        <f t="shared" si="17"/>
        <v>x</v>
      </c>
      <c r="L490" s="7">
        <v>1306243</v>
      </c>
      <c r="M490" s="8" t="s">
        <v>172</v>
      </c>
      <c r="N490" s="9" t="s">
        <v>356</v>
      </c>
    </row>
    <row r="491" spans="1:14" ht="237.5" x14ac:dyDescent="0.35">
      <c r="A491" s="16"/>
      <c r="B491" s="25"/>
      <c r="C491" s="26"/>
      <c r="D491" s="16"/>
      <c r="E491" s="25"/>
      <c r="F491" s="19"/>
      <c r="G491" s="19"/>
      <c r="H491" s="16"/>
      <c r="I491" s="19"/>
      <c r="J491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91" s="33" t="str">
        <f t="shared" si="17"/>
        <v/>
      </c>
      <c r="L491" s="7"/>
      <c r="M491" s="8"/>
      <c r="N491" s="9"/>
    </row>
    <row r="492" spans="1:14" ht="237.5" x14ac:dyDescent="0.35">
      <c r="A492" s="16"/>
      <c r="B492" s="25"/>
      <c r="C492" s="26"/>
      <c r="D492" s="16"/>
      <c r="E492" s="25"/>
      <c r="F492" s="19"/>
      <c r="G492" s="19"/>
      <c r="H492" s="16"/>
      <c r="I492" s="19"/>
      <c r="J492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92" s="33" t="str">
        <f t="shared" si="17"/>
        <v/>
      </c>
      <c r="L492" s="7"/>
      <c r="M492" s="8"/>
      <c r="N492" s="9"/>
    </row>
    <row r="493" spans="1:14" ht="237.5" x14ac:dyDescent="0.35">
      <c r="A493" s="16"/>
      <c r="B493" s="25"/>
      <c r="C493" s="26"/>
      <c r="D493" s="16"/>
      <c r="E493" s="25"/>
      <c r="F493" s="19"/>
      <c r="G493" s="19"/>
      <c r="H493" s="16"/>
      <c r="I493" s="19"/>
      <c r="J493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493" s="33" t="str">
        <f t="shared" si="17"/>
        <v/>
      </c>
      <c r="L493" s="7"/>
      <c r="M493" s="8"/>
      <c r="N493" s="9"/>
    </row>
    <row r="494" spans="1:14" ht="125" x14ac:dyDescent="0.35">
      <c r="A494" s="16" t="s">
        <v>174</v>
      </c>
      <c r="B494" s="25" t="s">
        <v>344</v>
      </c>
      <c r="C494" s="26" t="s">
        <v>175</v>
      </c>
      <c r="D494" s="16"/>
      <c r="E494" s="25" t="s">
        <v>345</v>
      </c>
      <c r="F494" s="27" t="s">
        <v>346</v>
      </c>
      <c r="G494" s="27"/>
      <c r="H494" s="16" t="s">
        <v>17</v>
      </c>
      <c r="I494" s="19" t="s">
        <v>18</v>
      </c>
      <c r="J494" s="33" t="str">
        <f t="shared" si="16"/>
        <v>-030-039-044-051-082-084-090-093-095-096-097-098-171-180-250-283-322-325-328-330-356-384-409-415-420-444-514-580-4027-4029-</v>
      </c>
      <c r="K494" s="33" t="str">
        <f t="shared" si="17"/>
        <v>x</v>
      </c>
      <c r="L494" s="7">
        <v>3277379</v>
      </c>
      <c r="M494" s="8" t="s">
        <v>176</v>
      </c>
      <c r="N494" s="9" t="s">
        <v>347</v>
      </c>
    </row>
    <row r="495" spans="1:14" ht="125" x14ac:dyDescent="0.35">
      <c r="A495" s="16"/>
      <c r="B495" s="25"/>
      <c r="C495" s="26"/>
      <c r="D495" s="16"/>
      <c r="E495" s="25"/>
      <c r="F495" s="19"/>
      <c r="G495" s="19"/>
      <c r="H495" s="16"/>
      <c r="I495" s="19"/>
      <c r="J495" s="33" t="str">
        <f t="shared" si="16"/>
        <v>-030-039-044-051-082-084-090-093-095-096-097-098-171-180-250-283-322-325-328-330-356-384-409-415-420-444-514-580-4027-4029-</v>
      </c>
      <c r="K495" s="33" t="str">
        <f t="shared" si="17"/>
        <v>x</v>
      </c>
      <c r="L495" s="7">
        <v>3269031</v>
      </c>
      <c r="M495" s="8" t="s">
        <v>177</v>
      </c>
      <c r="N495" s="9" t="s">
        <v>347</v>
      </c>
    </row>
    <row r="496" spans="1:14" ht="125" x14ac:dyDescent="0.35">
      <c r="A496" s="16"/>
      <c r="B496" s="25"/>
      <c r="C496" s="26"/>
      <c r="D496" s="16"/>
      <c r="E496" s="25"/>
      <c r="F496" s="19"/>
      <c r="G496" s="19"/>
      <c r="H496" s="16"/>
      <c r="I496" s="19"/>
      <c r="J496" s="33" t="str">
        <f t="shared" si="16"/>
        <v>-030-039-044-051-082-084-090-093-095-096-097-098-171-180-250-283-322-325-328-330-356-384-409-415-420-444-514-580-4027-4029-</v>
      </c>
      <c r="K496" s="33" t="str">
        <f t="shared" si="17"/>
        <v>x</v>
      </c>
      <c r="L496" s="7">
        <v>3268924</v>
      </c>
      <c r="M496" s="8" t="s">
        <v>178</v>
      </c>
      <c r="N496" s="9" t="s">
        <v>347</v>
      </c>
    </row>
    <row r="497" spans="1:14" ht="125" x14ac:dyDescent="0.35">
      <c r="A497" s="16"/>
      <c r="B497" s="25"/>
      <c r="C497" s="26"/>
      <c r="D497" s="16"/>
      <c r="E497" s="25"/>
      <c r="F497" s="19"/>
      <c r="G497" s="19"/>
      <c r="H497" s="16"/>
      <c r="I497" s="19"/>
      <c r="J497" s="33" t="str">
        <f t="shared" si="16"/>
        <v>-030-039-044-051-082-084-090-093-095-096-097-098-171-180-250-283-322-325-328-330-356-384-409-415-420-444-514-580-4027-4029-</v>
      </c>
      <c r="K497" s="33" t="str">
        <f t="shared" si="17"/>
        <v>x</v>
      </c>
      <c r="L497" s="7">
        <v>3381262</v>
      </c>
      <c r="M497" s="8" t="s">
        <v>179</v>
      </c>
      <c r="N497" s="9" t="s">
        <v>347</v>
      </c>
    </row>
    <row r="498" spans="1:14" ht="125" x14ac:dyDescent="0.35">
      <c r="A498" s="16"/>
      <c r="B498" s="25"/>
      <c r="C498" s="26"/>
      <c r="D498" s="16"/>
      <c r="E498" s="25"/>
      <c r="F498" s="19"/>
      <c r="G498" s="19"/>
      <c r="H498" s="16"/>
      <c r="I498" s="19"/>
      <c r="J498" s="33" t="str">
        <f t="shared" si="16"/>
        <v>-030-039-044-051-082-084-090-093-095-096-097-098-171-180-250-283-322-325-328-330-356-384-409-415-420-444-514-580-4027-4029-</v>
      </c>
      <c r="K498" s="33" t="str">
        <f t="shared" si="17"/>
        <v/>
      </c>
      <c r="L498" s="7"/>
      <c r="M498" s="8"/>
      <c r="N498" s="9"/>
    </row>
    <row r="499" spans="1:14" ht="125" x14ac:dyDescent="0.35">
      <c r="A499" s="16"/>
      <c r="B499" s="25"/>
      <c r="C499" s="26"/>
      <c r="D499" s="16"/>
      <c r="E499" s="25"/>
      <c r="F499" s="19"/>
      <c r="G499" s="19"/>
      <c r="H499" s="16"/>
      <c r="I499" s="19"/>
      <c r="J499" s="33" t="str">
        <f t="shared" si="16"/>
        <v>-030-039-044-051-082-084-090-093-095-096-097-098-171-180-250-283-322-325-328-330-356-384-409-415-420-444-514-580-4027-4029-</v>
      </c>
      <c r="K499" s="33" t="str">
        <f t="shared" si="17"/>
        <v/>
      </c>
      <c r="L499" s="7"/>
      <c r="M499" s="8"/>
      <c r="N499" s="9"/>
    </row>
    <row r="500" spans="1:14" ht="125" x14ac:dyDescent="0.35">
      <c r="A500" s="16"/>
      <c r="B500" s="25"/>
      <c r="C500" s="26"/>
      <c r="D500" s="16"/>
      <c r="E500" s="25"/>
      <c r="F500" s="19"/>
      <c r="G500" s="19"/>
      <c r="H500" s="16"/>
      <c r="I500" s="19"/>
      <c r="J500" s="33" t="str">
        <f t="shared" si="16"/>
        <v>-030-039-044-051-082-084-090-093-095-096-097-098-171-180-250-283-322-325-328-330-356-384-409-415-420-444-514-580-4027-4029-</v>
      </c>
      <c r="K500" s="33" t="str">
        <f t="shared" si="17"/>
        <v/>
      </c>
      <c r="L500" s="7"/>
      <c r="M500" s="8"/>
      <c r="N500" s="9"/>
    </row>
    <row r="501" spans="1:14" ht="125" x14ac:dyDescent="0.35">
      <c r="A501" s="16"/>
      <c r="B501" s="25"/>
      <c r="C501" s="26"/>
      <c r="D501" s="16"/>
      <c r="E501" s="25"/>
      <c r="F501" s="19"/>
      <c r="G501" s="19"/>
      <c r="H501" s="16"/>
      <c r="I501" s="19"/>
      <c r="J501" s="33" t="str">
        <f t="shared" si="16"/>
        <v>-030-039-044-051-082-084-090-093-095-096-097-098-171-180-250-283-322-325-328-330-356-384-409-415-420-444-514-580-4027-4029-</v>
      </c>
      <c r="K501" s="33" t="str">
        <f t="shared" si="17"/>
        <v/>
      </c>
      <c r="L501" s="7"/>
      <c r="M501" s="8"/>
      <c r="N501" s="9"/>
    </row>
    <row r="502" spans="1:14" ht="125" x14ac:dyDescent="0.35">
      <c r="A502" s="16"/>
      <c r="B502" s="25"/>
      <c r="C502" s="26"/>
      <c r="D502" s="16"/>
      <c r="E502" s="25"/>
      <c r="F502" s="19"/>
      <c r="G502" s="19"/>
      <c r="H502" s="16"/>
      <c r="I502" s="19"/>
      <c r="J502" s="33" t="str">
        <f t="shared" si="16"/>
        <v>-030-039-044-051-082-084-090-093-095-096-097-098-171-180-250-283-322-325-328-330-356-384-409-415-420-444-514-580-4027-4029-</v>
      </c>
      <c r="K502" s="33" t="str">
        <f t="shared" si="17"/>
        <v/>
      </c>
      <c r="L502" s="7"/>
      <c r="M502" s="8"/>
      <c r="N502" s="9"/>
    </row>
    <row r="503" spans="1:14" ht="125" x14ac:dyDescent="0.35">
      <c r="A503" s="16"/>
      <c r="B503" s="25"/>
      <c r="C503" s="26"/>
      <c r="D503" s="16"/>
      <c r="E503" s="25"/>
      <c r="F503" s="19"/>
      <c r="G503" s="19"/>
      <c r="H503" s="16"/>
      <c r="I503" s="19"/>
      <c r="J503" s="33" t="str">
        <f t="shared" si="16"/>
        <v>-030-039-044-051-082-084-090-093-095-096-097-098-171-180-250-283-322-325-328-330-356-384-409-415-420-444-514-580-4027-4029-</v>
      </c>
      <c r="K503" s="33" t="str">
        <f t="shared" si="17"/>
        <v/>
      </c>
      <c r="L503" s="7"/>
      <c r="M503" s="8"/>
      <c r="N503" s="9"/>
    </row>
    <row r="504" spans="1:14" ht="125" x14ac:dyDescent="0.35">
      <c r="A504" s="16"/>
      <c r="B504" s="25"/>
      <c r="C504" s="26"/>
      <c r="D504" s="16"/>
      <c r="E504" s="25"/>
      <c r="F504" s="19"/>
      <c r="G504" s="19"/>
      <c r="H504" s="16"/>
      <c r="I504" s="19"/>
      <c r="J504" s="33" t="str">
        <f t="shared" si="16"/>
        <v>-030-039-044-051-082-084-090-093-095-096-097-098-171-180-250-283-322-325-328-330-356-384-409-415-420-444-514-580-4027-4029-</v>
      </c>
      <c r="K504" s="33" t="str">
        <f t="shared" si="17"/>
        <v/>
      </c>
      <c r="L504" s="7"/>
      <c r="M504" s="8"/>
      <c r="N504" s="9"/>
    </row>
    <row r="505" spans="1:14" ht="125" x14ac:dyDescent="0.35">
      <c r="A505" s="16"/>
      <c r="B505" s="25"/>
      <c r="C505" s="26"/>
      <c r="D505" s="16"/>
      <c r="E505" s="25"/>
      <c r="F505" s="19"/>
      <c r="G505" s="19"/>
      <c r="H505" s="16"/>
      <c r="I505" s="19"/>
      <c r="J505" s="33" t="str">
        <f t="shared" si="16"/>
        <v>-030-039-044-051-082-084-090-093-095-096-097-098-171-180-250-283-322-325-328-330-356-384-409-415-420-444-514-580-4027-4029-</v>
      </c>
      <c r="K505" s="33" t="str">
        <f t="shared" si="17"/>
        <v/>
      </c>
      <c r="L505" s="7"/>
      <c r="M505" s="8"/>
      <c r="N505" s="9"/>
    </row>
    <row r="506" spans="1:14" ht="14.5" customHeight="1" x14ac:dyDescent="0.35">
      <c r="A506" s="16" t="s">
        <v>174</v>
      </c>
      <c r="B506" s="25" t="s">
        <v>344</v>
      </c>
      <c r="C506" s="26" t="s">
        <v>175</v>
      </c>
      <c r="D506" s="16"/>
      <c r="E506" s="25" t="s">
        <v>345</v>
      </c>
      <c r="F506" s="27" t="s">
        <v>346</v>
      </c>
      <c r="G506" s="27"/>
      <c r="H506" s="16" t="s">
        <v>57</v>
      </c>
      <c r="I506" s="19" t="s">
        <v>83</v>
      </c>
      <c r="J506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06" s="33" t="str">
        <f t="shared" si="17"/>
        <v>x</v>
      </c>
      <c r="L506" s="7">
        <v>3277379</v>
      </c>
      <c r="M506" s="8" t="s">
        <v>176</v>
      </c>
      <c r="N506" s="9" t="s">
        <v>347</v>
      </c>
    </row>
    <row r="507" spans="1:14" ht="237.5" x14ac:dyDescent="0.35">
      <c r="A507" s="16"/>
      <c r="B507" s="25"/>
      <c r="C507" s="26"/>
      <c r="D507" s="16"/>
      <c r="E507" s="25"/>
      <c r="F507" s="19"/>
      <c r="G507" s="19"/>
      <c r="H507" s="16"/>
      <c r="I507" s="19"/>
      <c r="J507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07" s="33" t="str">
        <f t="shared" si="17"/>
        <v>x</v>
      </c>
      <c r="L507" s="7">
        <v>3202788</v>
      </c>
      <c r="M507" s="8" t="s">
        <v>180</v>
      </c>
      <c r="N507" s="9" t="s">
        <v>347</v>
      </c>
    </row>
    <row r="508" spans="1:14" ht="237.5" x14ac:dyDescent="0.35">
      <c r="A508" s="16"/>
      <c r="B508" s="25"/>
      <c r="C508" s="26"/>
      <c r="D508" s="16"/>
      <c r="E508" s="25"/>
      <c r="F508" s="19"/>
      <c r="G508" s="19"/>
      <c r="H508" s="16"/>
      <c r="I508" s="19"/>
      <c r="J508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08" s="33" t="str">
        <f t="shared" si="17"/>
        <v>x</v>
      </c>
      <c r="L508" s="7">
        <v>3269031</v>
      </c>
      <c r="M508" s="8" t="s">
        <v>177</v>
      </c>
      <c r="N508" s="9" t="s">
        <v>347</v>
      </c>
    </row>
    <row r="509" spans="1:14" ht="237.5" x14ac:dyDescent="0.35">
      <c r="A509" s="16"/>
      <c r="B509" s="25"/>
      <c r="C509" s="26"/>
      <c r="D509" s="16"/>
      <c r="E509" s="25"/>
      <c r="F509" s="19"/>
      <c r="G509" s="19"/>
      <c r="H509" s="16"/>
      <c r="I509" s="19"/>
      <c r="J509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09" s="33" t="str">
        <f t="shared" si="17"/>
        <v>x</v>
      </c>
      <c r="L509" s="7">
        <v>3268924</v>
      </c>
      <c r="M509" s="8" t="s">
        <v>178</v>
      </c>
      <c r="N509" s="9" t="s">
        <v>347</v>
      </c>
    </row>
    <row r="510" spans="1:14" ht="237.5" x14ac:dyDescent="0.35">
      <c r="A510" s="16"/>
      <c r="B510" s="25"/>
      <c r="C510" s="26"/>
      <c r="D510" s="16"/>
      <c r="E510" s="25"/>
      <c r="F510" s="19"/>
      <c r="G510" s="19"/>
      <c r="H510" s="16"/>
      <c r="I510" s="19"/>
      <c r="J510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0" s="33" t="str">
        <f t="shared" si="17"/>
        <v>x</v>
      </c>
      <c r="L510" s="7">
        <v>3381262</v>
      </c>
      <c r="M510" s="8" t="s">
        <v>179</v>
      </c>
      <c r="N510" s="9" t="s">
        <v>347</v>
      </c>
    </row>
    <row r="511" spans="1:14" ht="237.5" x14ac:dyDescent="0.35">
      <c r="A511" s="16"/>
      <c r="B511" s="25"/>
      <c r="C511" s="26"/>
      <c r="D511" s="16"/>
      <c r="E511" s="25"/>
      <c r="F511" s="19"/>
      <c r="G511" s="19"/>
      <c r="H511" s="16"/>
      <c r="I511" s="19"/>
      <c r="J511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1" s="33" t="str">
        <f t="shared" si="17"/>
        <v>x</v>
      </c>
      <c r="L511" s="7">
        <v>1779784</v>
      </c>
      <c r="M511" s="8" t="s">
        <v>181</v>
      </c>
      <c r="N511" s="9" t="s">
        <v>347</v>
      </c>
    </row>
    <row r="512" spans="1:14" ht="237.5" x14ac:dyDescent="0.35">
      <c r="A512" s="16"/>
      <c r="B512" s="25"/>
      <c r="C512" s="26"/>
      <c r="D512" s="16"/>
      <c r="E512" s="25"/>
      <c r="F512" s="19"/>
      <c r="G512" s="19"/>
      <c r="H512" s="16"/>
      <c r="I512" s="19"/>
      <c r="J512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2" s="33" t="str">
        <f t="shared" si="17"/>
        <v>x</v>
      </c>
      <c r="L512" s="7">
        <v>1101812</v>
      </c>
      <c r="M512" s="8" t="s">
        <v>182</v>
      </c>
      <c r="N512" s="9" t="s">
        <v>347</v>
      </c>
    </row>
    <row r="513" spans="1:14" ht="237.5" x14ac:dyDescent="0.35">
      <c r="A513" s="16"/>
      <c r="B513" s="25"/>
      <c r="C513" s="26"/>
      <c r="D513" s="16"/>
      <c r="E513" s="25"/>
      <c r="F513" s="19"/>
      <c r="G513" s="19"/>
      <c r="H513" s="16"/>
      <c r="I513" s="19"/>
      <c r="J513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3" s="33" t="str">
        <f t="shared" si="17"/>
        <v/>
      </c>
      <c r="L513" s="7"/>
      <c r="M513" s="8"/>
      <c r="N513" s="9"/>
    </row>
    <row r="514" spans="1:14" ht="237.5" x14ac:dyDescent="0.35">
      <c r="A514" s="16"/>
      <c r="B514" s="25"/>
      <c r="C514" s="26"/>
      <c r="D514" s="16"/>
      <c r="E514" s="25"/>
      <c r="F514" s="19"/>
      <c r="G514" s="19"/>
      <c r="H514" s="16"/>
      <c r="I514" s="19"/>
      <c r="J514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4" s="33" t="str">
        <f t="shared" si="17"/>
        <v/>
      </c>
      <c r="L514" s="7"/>
      <c r="M514" s="8"/>
      <c r="N514" s="9"/>
    </row>
    <row r="515" spans="1:14" ht="237.5" x14ac:dyDescent="0.35">
      <c r="A515" s="16"/>
      <c r="B515" s="25"/>
      <c r="C515" s="26"/>
      <c r="D515" s="16"/>
      <c r="E515" s="25"/>
      <c r="F515" s="19"/>
      <c r="G515" s="19"/>
      <c r="H515" s="16"/>
      <c r="I515" s="19"/>
      <c r="J515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5" s="33" t="str">
        <f t="shared" si="17"/>
        <v/>
      </c>
      <c r="L515" s="7"/>
      <c r="M515" s="8"/>
      <c r="N515" s="9"/>
    </row>
    <row r="516" spans="1:14" ht="237.5" x14ac:dyDescent="0.35">
      <c r="A516" s="16"/>
      <c r="B516" s="25"/>
      <c r="C516" s="26"/>
      <c r="D516" s="16"/>
      <c r="E516" s="25"/>
      <c r="F516" s="19"/>
      <c r="G516" s="19"/>
      <c r="H516" s="16"/>
      <c r="I516" s="19"/>
      <c r="J516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6" s="33" t="str">
        <f t="shared" si="17"/>
        <v/>
      </c>
      <c r="L516" s="7"/>
      <c r="M516" s="8"/>
      <c r="N516" s="9"/>
    </row>
    <row r="517" spans="1:14" ht="237.5" x14ac:dyDescent="0.35">
      <c r="A517" s="16"/>
      <c r="B517" s="25"/>
      <c r="C517" s="26"/>
      <c r="D517" s="16"/>
      <c r="E517" s="25"/>
      <c r="F517" s="19"/>
      <c r="G517" s="19"/>
      <c r="H517" s="16"/>
      <c r="I517" s="19"/>
      <c r="J517" s="33" t="str">
        <f t="shared" si="16"/>
        <v>-030-033-044-045-053-073-075-086-089-095-096-097-135-156-158-171-172-175-180-258-259-262-266-275-281-282-289-290-302-307-322-328-330-352-358-363-368-370-376-379-383-385-402-409-422-435-483-502-554-556-578-620-628-650-4025-4028-</v>
      </c>
      <c r="K517" s="33" t="str">
        <f t="shared" si="17"/>
        <v/>
      </c>
      <c r="L517" s="7"/>
      <c r="M517" s="8"/>
      <c r="N517" s="9"/>
    </row>
    <row r="518" spans="1:14" ht="14.5" customHeight="1" x14ac:dyDescent="0.35">
      <c r="A518" s="16" t="s">
        <v>254</v>
      </c>
      <c r="B518" s="25" t="s">
        <v>344</v>
      </c>
      <c r="C518" s="26" t="s">
        <v>222</v>
      </c>
      <c r="D518" s="16"/>
      <c r="E518" s="25" t="s">
        <v>345</v>
      </c>
      <c r="F518" s="27" t="s">
        <v>346</v>
      </c>
      <c r="G518" s="27"/>
      <c r="H518" s="16" t="s">
        <v>57</v>
      </c>
      <c r="I518" s="19" t="s">
        <v>83</v>
      </c>
      <c r="J518" s="33" t="str">
        <f t="shared" ref="J518:J581" si="18">IF(I518&lt;&gt;"","-"&amp;I518&amp;"-",J517)</f>
        <v>-030-033-044-045-053-073-075-086-089-095-096-097-135-156-158-171-172-175-180-258-259-262-266-275-281-282-289-290-302-307-322-328-330-352-358-363-368-370-376-379-383-385-402-409-422-435-483-502-554-556-578-620-628-650-4025-4028-</v>
      </c>
      <c r="K518" s="33" t="str">
        <f t="shared" ref="K518:K581" si="19">IF(L518="","",IF(J518="TODOS ÉXITO A NIVEL NACIONAL-","x",IFERROR(IF(VALUE(IF(L518="","",FIND($AJ$2,J518,1)))&lt;&gt;"","x",""),"")))</f>
        <v>x</v>
      </c>
      <c r="L518" s="7">
        <v>564432</v>
      </c>
      <c r="M518" s="8" t="s">
        <v>223</v>
      </c>
      <c r="N518" s="9" t="s">
        <v>347</v>
      </c>
    </row>
    <row r="519" spans="1:14" ht="237.5" x14ac:dyDescent="0.35">
      <c r="A519" s="16"/>
      <c r="B519" s="25"/>
      <c r="C519" s="26"/>
      <c r="D519" s="16"/>
      <c r="E519" s="25"/>
      <c r="F519" s="19"/>
      <c r="G519" s="19"/>
      <c r="H519" s="16"/>
      <c r="I519" s="19"/>
      <c r="J51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19" s="33" t="str">
        <f t="shared" si="19"/>
        <v>x</v>
      </c>
      <c r="L519" s="7">
        <v>3549822</v>
      </c>
      <c r="M519" s="8" t="s">
        <v>224</v>
      </c>
      <c r="N519" s="9" t="s">
        <v>359</v>
      </c>
    </row>
    <row r="520" spans="1:14" ht="237.5" x14ac:dyDescent="0.35">
      <c r="A520" s="16"/>
      <c r="B520" s="25"/>
      <c r="C520" s="26"/>
      <c r="D520" s="16"/>
      <c r="E520" s="25"/>
      <c r="F520" s="19"/>
      <c r="G520" s="19"/>
      <c r="H520" s="16"/>
      <c r="I520" s="19"/>
      <c r="J52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0" s="33" t="str">
        <f t="shared" si="19"/>
        <v>x</v>
      </c>
      <c r="L520" s="7">
        <v>159889</v>
      </c>
      <c r="M520" s="8" t="s">
        <v>225</v>
      </c>
      <c r="N520" s="9" t="s">
        <v>359</v>
      </c>
    </row>
    <row r="521" spans="1:14" ht="237.5" x14ac:dyDescent="0.35">
      <c r="A521" s="16"/>
      <c r="B521" s="25"/>
      <c r="C521" s="26"/>
      <c r="D521" s="16"/>
      <c r="E521" s="25"/>
      <c r="F521" s="19"/>
      <c r="G521" s="19"/>
      <c r="H521" s="16"/>
      <c r="I521" s="19"/>
      <c r="J52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1" s="33" t="str">
        <f t="shared" si="19"/>
        <v>x</v>
      </c>
      <c r="L521" s="7">
        <v>3362666</v>
      </c>
      <c r="M521" s="8" t="s">
        <v>226</v>
      </c>
      <c r="N521" s="9" t="s">
        <v>347</v>
      </c>
    </row>
    <row r="522" spans="1:14" ht="237.5" x14ac:dyDescent="0.35">
      <c r="A522" s="16"/>
      <c r="B522" s="25"/>
      <c r="C522" s="26"/>
      <c r="D522" s="16"/>
      <c r="E522" s="25"/>
      <c r="F522" s="19"/>
      <c r="G522" s="19"/>
      <c r="H522" s="16"/>
      <c r="I522" s="19"/>
      <c r="J52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2" s="33" t="str">
        <f t="shared" si="19"/>
        <v>x</v>
      </c>
      <c r="L522" s="7">
        <v>434599</v>
      </c>
      <c r="M522" s="8" t="s">
        <v>227</v>
      </c>
      <c r="N522" s="9" t="s">
        <v>359</v>
      </c>
    </row>
    <row r="523" spans="1:14" ht="237.5" x14ac:dyDescent="0.35">
      <c r="A523" s="16"/>
      <c r="B523" s="25"/>
      <c r="C523" s="26"/>
      <c r="D523" s="16"/>
      <c r="E523" s="25"/>
      <c r="F523" s="19"/>
      <c r="G523" s="19"/>
      <c r="H523" s="16"/>
      <c r="I523" s="19"/>
      <c r="J52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3" s="33" t="str">
        <f t="shared" si="19"/>
        <v>x</v>
      </c>
      <c r="L523" s="7">
        <v>3487066</v>
      </c>
      <c r="M523" s="8" t="s">
        <v>228</v>
      </c>
      <c r="N523" s="9" t="s">
        <v>347</v>
      </c>
    </row>
    <row r="524" spans="1:14" ht="237.5" x14ac:dyDescent="0.35">
      <c r="A524" s="16"/>
      <c r="B524" s="25"/>
      <c r="C524" s="26"/>
      <c r="D524" s="16"/>
      <c r="E524" s="25"/>
      <c r="F524" s="19"/>
      <c r="G524" s="19"/>
      <c r="H524" s="16"/>
      <c r="I524" s="19"/>
      <c r="J52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4" s="33" t="str">
        <f t="shared" si="19"/>
        <v>x</v>
      </c>
      <c r="L524" s="7">
        <v>575915</v>
      </c>
      <c r="M524" s="8" t="s">
        <v>229</v>
      </c>
      <c r="N524" s="9" t="s">
        <v>347</v>
      </c>
    </row>
    <row r="525" spans="1:14" ht="237.5" x14ac:dyDescent="0.35">
      <c r="A525" s="16"/>
      <c r="B525" s="25"/>
      <c r="C525" s="26"/>
      <c r="D525" s="16"/>
      <c r="E525" s="25"/>
      <c r="F525" s="19"/>
      <c r="G525" s="19"/>
      <c r="H525" s="16"/>
      <c r="I525" s="19"/>
      <c r="J52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5" s="33" t="str">
        <f t="shared" si="19"/>
        <v>x</v>
      </c>
      <c r="L525" s="7">
        <v>3249894</v>
      </c>
      <c r="M525" s="8" t="s">
        <v>230</v>
      </c>
      <c r="N525" s="9" t="s">
        <v>361</v>
      </c>
    </row>
    <row r="526" spans="1:14" ht="237.5" x14ac:dyDescent="0.35">
      <c r="A526" s="16"/>
      <c r="B526" s="25"/>
      <c r="C526" s="26"/>
      <c r="D526" s="16"/>
      <c r="E526" s="25"/>
      <c r="F526" s="19"/>
      <c r="G526" s="19"/>
      <c r="H526" s="16"/>
      <c r="I526" s="19"/>
      <c r="J52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6" s="33" t="str">
        <f t="shared" si="19"/>
        <v>x</v>
      </c>
      <c r="L526" s="7">
        <v>3333764</v>
      </c>
      <c r="M526" s="8" t="s">
        <v>231</v>
      </c>
      <c r="N526" s="9" t="s">
        <v>359</v>
      </c>
    </row>
    <row r="527" spans="1:14" ht="237.5" x14ac:dyDescent="0.35">
      <c r="A527" s="16"/>
      <c r="B527" s="25"/>
      <c r="C527" s="26"/>
      <c r="D527" s="16"/>
      <c r="E527" s="25"/>
      <c r="F527" s="19"/>
      <c r="G527" s="19"/>
      <c r="H527" s="16"/>
      <c r="I527" s="19"/>
      <c r="J52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7" s="33" t="str">
        <f t="shared" si="19"/>
        <v/>
      </c>
      <c r="L527" s="7"/>
      <c r="M527" s="8"/>
      <c r="N527" s="9"/>
    </row>
    <row r="528" spans="1:14" ht="237.5" x14ac:dyDescent="0.35">
      <c r="A528" s="16"/>
      <c r="B528" s="25"/>
      <c r="C528" s="26"/>
      <c r="D528" s="16"/>
      <c r="E528" s="25"/>
      <c r="F528" s="19"/>
      <c r="G528" s="19"/>
      <c r="H528" s="16"/>
      <c r="I528" s="19"/>
      <c r="J52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8" s="33" t="str">
        <f t="shared" si="19"/>
        <v/>
      </c>
      <c r="L528" s="7"/>
      <c r="M528" s="8"/>
      <c r="N528" s="9"/>
    </row>
    <row r="529" spans="1:14" ht="237.5" x14ac:dyDescent="0.35">
      <c r="A529" s="16"/>
      <c r="B529" s="25"/>
      <c r="C529" s="26"/>
      <c r="D529" s="16"/>
      <c r="E529" s="25"/>
      <c r="F529" s="19"/>
      <c r="G529" s="19"/>
      <c r="H529" s="16"/>
      <c r="I529" s="19"/>
      <c r="J52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29" s="33" t="str">
        <f t="shared" si="19"/>
        <v/>
      </c>
      <c r="L529" s="7"/>
      <c r="M529" s="8"/>
      <c r="N529" s="9"/>
    </row>
    <row r="530" spans="1:14" ht="14.5" customHeight="1" x14ac:dyDescent="0.35">
      <c r="A530" s="16">
        <v>92</v>
      </c>
      <c r="B530" s="25" t="s">
        <v>344</v>
      </c>
      <c r="C530" s="26" t="s">
        <v>255</v>
      </c>
      <c r="D530" s="16"/>
      <c r="E530" s="25" t="s">
        <v>345</v>
      </c>
      <c r="F530" s="27" t="s">
        <v>346</v>
      </c>
      <c r="G530" s="27"/>
      <c r="H530" s="16" t="s">
        <v>57</v>
      </c>
      <c r="I530" s="19" t="s">
        <v>83</v>
      </c>
      <c r="J53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0" s="33" t="str">
        <f t="shared" si="19"/>
        <v>x</v>
      </c>
      <c r="L530" s="7">
        <v>3064453</v>
      </c>
      <c r="M530" s="8" t="s">
        <v>256</v>
      </c>
      <c r="N530" s="9" t="s">
        <v>347</v>
      </c>
    </row>
    <row r="531" spans="1:14" ht="237.5" x14ac:dyDescent="0.35">
      <c r="A531" s="16"/>
      <c r="B531" s="25"/>
      <c r="C531" s="26"/>
      <c r="D531" s="16"/>
      <c r="E531" s="25"/>
      <c r="F531" s="19"/>
      <c r="G531" s="19"/>
      <c r="H531" s="16"/>
      <c r="I531" s="19"/>
      <c r="J53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1" s="33" t="str">
        <f t="shared" si="19"/>
        <v>x</v>
      </c>
      <c r="L531" s="7">
        <v>1418659</v>
      </c>
      <c r="M531" s="8" t="s">
        <v>257</v>
      </c>
      <c r="N531" s="9" t="s">
        <v>347</v>
      </c>
    </row>
    <row r="532" spans="1:14" ht="237.5" x14ac:dyDescent="0.35">
      <c r="A532" s="16"/>
      <c r="B532" s="25"/>
      <c r="C532" s="26"/>
      <c r="D532" s="16"/>
      <c r="E532" s="25"/>
      <c r="F532" s="19"/>
      <c r="G532" s="19"/>
      <c r="H532" s="16"/>
      <c r="I532" s="19"/>
      <c r="J53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2" s="33" t="str">
        <f t="shared" si="19"/>
        <v>x</v>
      </c>
      <c r="L532" s="7">
        <v>1417941</v>
      </c>
      <c r="M532" s="8" t="s">
        <v>258</v>
      </c>
      <c r="N532" s="9" t="s">
        <v>347</v>
      </c>
    </row>
    <row r="533" spans="1:14" ht="237.5" x14ac:dyDescent="0.35">
      <c r="A533" s="16"/>
      <c r="B533" s="25"/>
      <c r="C533" s="26"/>
      <c r="D533" s="16"/>
      <c r="E533" s="25"/>
      <c r="F533" s="19"/>
      <c r="G533" s="19"/>
      <c r="H533" s="16"/>
      <c r="I533" s="19"/>
      <c r="J53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3" s="33" t="str">
        <f t="shared" si="19"/>
        <v>x</v>
      </c>
      <c r="L533" s="7">
        <v>3533112</v>
      </c>
      <c r="M533" s="8" t="s">
        <v>259</v>
      </c>
      <c r="N533" s="9" t="s">
        <v>347</v>
      </c>
    </row>
    <row r="534" spans="1:14" ht="237.5" x14ac:dyDescent="0.35">
      <c r="A534" s="16"/>
      <c r="B534" s="25"/>
      <c r="C534" s="26"/>
      <c r="D534" s="16"/>
      <c r="E534" s="25"/>
      <c r="F534" s="19"/>
      <c r="G534" s="19"/>
      <c r="H534" s="16"/>
      <c r="I534" s="19"/>
      <c r="J53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4" s="33" t="str">
        <f t="shared" si="19"/>
        <v>x</v>
      </c>
      <c r="L534" s="7">
        <v>1418660</v>
      </c>
      <c r="M534" s="8" t="s">
        <v>260</v>
      </c>
      <c r="N534" s="9" t="s">
        <v>347</v>
      </c>
    </row>
    <row r="535" spans="1:14" ht="237.5" x14ac:dyDescent="0.35">
      <c r="A535" s="16"/>
      <c r="B535" s="25"/>
      <c r="C535" s="26"/>
      <c r="D535" s="16"/>
      <c r="E535" s="25"/>
      <c r="F535" s="19"/>
      <c r="G535" s="19"/>
      <c r="H535" s="16"/>
      <c r="I535" s="19"/>
      <c r="J53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5" s="33" t="str">
        <f t="shared" si="19"/>
        <v>x</v>
      </c>
      <c r="L535" s="7">
        <v>3409948</v>
      </c>
      <c r="M535" s="8" t="s">
        <v>261</v>
      </c>
      <c r="N535" s="9" t="s">
        <v>347</v>
      </c>
    </row>
    <row r="536" spans="1:14" ht="237.5" x14ac:dyDescent="0.35">
      <c r="A536" s="16"/>
      <c r="B536" s="25"/>
      <c r="C536" s="26"/>
      <c r="D536" s="16"/>
      <c r="E536" s="25"/>
      <c r="F536" s="19"/>
      <c r="G536" s="19"/>
      <c r="H536" s="16"/>
      <c r="I536" s="19"/>
      <c r="J53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6" s="33" t="str">
        <f t="shared" si="19"/>
        <v/>
      </c>
      <c r="L536" s="7"/>
      <c r="M536" s="8"/>
      <c r="N536" s="9"/>
    </row>
    <row r="537" spans="1:14" ht="237.5" x14ac:dyDescent="0.35">
      <c r="A537" s="16"/>
      <c r="B537" s="25"/>
      <c r="C537" s="26"/>
      <c r="D537" s="16"/>
      <c r="E537" s="25"/>
      <c r="F537" s="19"/>
      <c r="G537" s="19"/>
      <c r="H537" s="16"/>
      <c r="I537" s="19"/>
      <c r="J53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7" s="33" t="str">
        <f t="shared" si="19"/>
        <v/>
      </c>
      <c r="L537" s="7"/>
      <c r="M537" s="8"/>
      <c r="N537" s="9"/>
    </row>
    <row r="538" spans="1:14" ht="237.5" x14ac:dyDescent="0.35">
      <c r="A538" s="16"/>
      <c r="B538" s="25"/>
      <c r="C538" s="26"/>
      <c r="D538" s="16"/>
      <c r="E538" s="25"/>
      <c r="F538" s="19"/>
      <c r="G538" s="19"/>
      <c r="H538" s="16"/>
      <c r="I538" s="19"/>
      <c r="J53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8" s="33" t="str">
        <f t="shared" si="19"/>
        <v/>
      </c>
      <c r="L538" s="7"/>
      <c r="M538" s="8"/>
      <c r="N538" s="9"/>
    </row>
    <row r="539" spans="1:14" ht="237.5" x14ac:dyDescent="0.35">
      <c r="A539" s="16"/>
      <c r="B539" s="25"/>
      <c r="C539" s="26"/>
      <c r="D539" s="16"/>
      <c r="E539" s="25"/>
      <c r="F539" s="19"/>
      <c r="G539" s="19"/>
      <c r="H539" s="16"/>
      <c r="I539" s="19"/>
      <c r="J53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39" s="33" t="str">
        <f t="shared" si="19"/>
        <v/>
      </c>
      <c r="L539" s="7"/>
      <c r="M539" s="8"/>
      <c r="N539" s="9"/>
    </row>
    <row r="540" spans="1:14" ht="237.5" x14ac:dyDescent="0.35">
      <c r="A540" s="16"/>
      <c r="B540" s="25"/>
      <c r="C540" s="26"/>
      <c r="D540" s="16"/>
      <c r="E540" s="25"/>
      <c r="F540" s="19"/>
      <c r="G540" s="19"/>
      <c r="H540" s="16"/>
      <c r="I540" s="19"/>
      <c r="J54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0" s="33" t="str">
        <f t="shared" si="19"/>
        <v/>
      </c>
      <c r="L540" s="7"/>
      <c r="M540" s="8"/>
      <c r="N540" s="9"/>
    </row>
    <row r="541" spans="1:14" ht="237.5" x14ac:dyDescent="0.35">
      <c r="A541" s="16"/>
      <c r="B541" s="25"/>
      <c r="C541" s="26"/>
      <c r="D541" s="16"/>
      <c r="E541" s="25"/>
      <c r="F541" s="19"/>
      <c r="G541" s="19"/>
      <c r="H541" s="16"/>
      <c r="I541" s="19"/>
      <c r="J54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1" s="33" t="str">
        <f t="shared" si="19"/>
        <v/>
      </c>
      <c r="L541" s="7"/>
      <c r="M541" s="8"/>
      <c r="N541" s="9"/>
    </row>
    <row r="542" spans="1:14" ht="14.5" customHeight="1" x14ac:dyDescent="0.35">
      <c r="A542" s="16">
        <v>94</v>
      </c>
      <c r="B542" s="25" t="s">
        <v>344</v>
      </c>
      <c r="C542" s="26" t="s">
        <v>290</v>
      </c>
      <c r="D542" s="16"/>
      <c r="E542" s="25" t="s">
        <v>345</v>
      </c>
      <c r="F542" s="27" t="s">
        <v>346</v>
      </c>
      <c r="G542" s="27"/>
      <c r="H542" s="16" t="s">
        <v>57</v>
      </c>
      <c r="I542" s="19" t="s">
        <v>83</v>
      </c>
      <c r="J54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2" s="33" t="str">
        <f t="shared" si="19"/>
        <v>x</v>
      </c>
      <c r="L542" s="7">
        <v>1476353</v>
      </c>
      <c r="M542" s="8" t="s">
        <v>284</v>
      </c>
      <c r="N542" s="9" t="s">
        <v>361</v>
      </c>
    </row>
    <row r="543" spans="1:14" ht="237.5" x14ac:dyDescent="0.35">
      <c r="A543" s="16"/>
      <c r="B543" s="25"/>
      <c r="C543" s="26"/>
      <c r="D543" s="16"/>
      <c r="E543" s="25"/>
      <c r="F543" s="19"/>
      <c r="G543" s="19"/>
      <c r="H543" s="16"/>
      <c r="I543" s="19"/>
      <c r="J54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3" s="33" t="str">
        <f t="shared" si="19"/>
        <v>x</v>
      </c>
      <c r="L543" s="7">
        <v>1476355</v>
      </c>
      <c r="M543" s="8" t="s">
        <v>285</v>
      </c>
      <c r="N543" s="9" t="s">
        <v>361</v>
      </c>
    </row>
    <row r="544" spans="1:14" ht="237.5" x14ac:dyDescent="0.35">
      <c r="A544" s="16"/>
      <c r="B544" s="25"/>
      <c r="C544" s="26"/>
      <c r="D544" s="16"/>
      <c r="E544" s="25"/>
      <c r="F544" s="19"/>
      <c r="G544" s="19"/>
      <c r="H544" s="16"/>
      <c r="I544" s="19"/>
      <c r="J54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4" s="33" t="str">
        <f t="shared" si="19"/>
        <v>x</v>
      </c>
      <c r="L544" s="7">
        <v>751509</v>
      </c>
      <c r="M544" s="8" t="s">
        <v>286</v>
      </c>
      <c r="N544" s="9" t="s">
        <v>359</v>
      </c>
    </row>
    <row r="545" spans="1:14" ht="237.5" x14ac:dyDescent="0.35">
      <c r="A545" s="16"/>
      <c r="B545" s="25"/>
      <c r="C545" s="26"/>
      <c r="D545" s="16"/>
      <c r="E545" s="25"/>
      <c r="F545" s="19"/>
      <c r="G545" s="19"/>
      <c r="H545" s="16"/>
      <c r="I545" s="19"/>
      <c r="J54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5" s="33" t="str">
        <f t="shared" si="19"/>
        <v>x</v>
      </c>
      <c r="L545" s="7">
        <v>3661069</v>
      </c>
      <c r="M545" s="8" t="s">
        <v>287</v>
      </c>
      <c r="N545" s="9" t="s">
        <v>347</v>
      </c>
    </row>
    <row r="546" spans="1:14" ht="237.5" x14ac:dyDescent="0.35">
      <c r="A546" s="16"/>
      <c r="B546" s="25"/>
      <c r="C546" s="26"/>
      <c r="D546" s="16"/>
      <c r="E546" s="25"/>
      <c r="F546" s="19"/>
      <c r="G546" s="19"/>
      <c r="H546" s="16"/>
      <c r="I546" s="19"/>
      <c r="J54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6" s="33" t="str">
        <f t="shared" si="19"/>
        <v>x</v>
      </c>
      <c r="L546" s="7">
        <v>3661068</v>
      </c>
      <c r="M546" s="8" t="s">
        <v>288</v>
      </c>
      <c r="N546" s="9" t="s">
        <v>347</v>
      </c>
    </row>
    <row r="547" spans="1:14" ht="237.5" x14ac:dyDescent="0.35">
      <c r="A547" s="16"/>
      <c r="B547" s="25"/>
      <c r="C547" s="26"/>
      <c r="D547" s="16"/>
      <c r="E547" s="25"/>
      <c r="F547" s="19"/>
      <c r="G547" s="19"/>
      <c r="H547" s="16"/>
      <c r="I547" s="19"/>
      <c r="J54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7" s="33" t="str">
        <f t="shared" si="19"/>
        <v>x</v>
      </c>
      <c r="L547" s="7">
        <v>214982</v>
      </c>
      <c r="M547" s="8" t="s">
        <v>289</v>
      </c>
      <c r="N547" s="9" t="s">
        <v>359</v>
      </c>
    </row>
    <row r="548" spans="1:14" ht="237.5" x14ac:dyDescent="0.35">
      <c r="A548" s="16"/>
      <c r="B548" s="25"/>
      <c r="C548" s="26"/>
      <c r="D548" s="16"/>
      <c r="E548" s="25"/>
      <c r="F548" s="19"/>
      <c r="G548" s="19"/>
      <c r="H548" s="16"/>
      <c r="I548" s="19"/>
      <c r="J54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8" s="33" t="str">
        <f t="shared" si="19"/>
        <v/>
      </c>
      <c r="L548" s="7"/>
      <c r="M548" s="8"/>
      <c r="N548" s="9"/>
    </row>
    <row r="549" spans="1:14" ht="237.5" x14ac:dyDescent="0.35">
      <c r="A549" s="16"/>
      <c r="B549" s="25"/>
      <c r="C549" s="26"/>
      <c r="D549" s="16"/>
      <c r="E549" s="25"/>
      <c r="F549" s="19"/>
      <c r="G549" s="19"/>
      <c r="H549" s="16"/>
      <c r="I549" s="19"/>
      <c r="J54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49" s="33" t="str">
        <f t="shared" si="19"/>
        <v/>
      </c>
      <c r="L549" s="7"/>
      <c r="M549" s="8"/>
      <c r="N549" s="9"/>
    </row>
    <row r="550" spans="1:14" ht="237.5" x14ac:dyDescent="0.35">
      <c r="A550" s="16"/>
      <c r="B550" s="25"/>
      <c r="C550" s="26"/>
      <c r="D550" s="16"/>
      <c r="E550" s="25"/>
      <c r="F550" s="19"/>
      <c r="G550" s="19"/>
      <c r="H550" s="16"/>
      <c r="I550" s="19"/>
      <c r="J55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0" s="33" t="str">
        <f t="shared" si="19"/>
        <v/>
      </c>
      <c r="L550" s="7"/>
      <c r="M550" s="8"/>
      <c r="N550" s="9"/>
    </row>
    <row r="551" spans="1:14" ht="237.5" x14ac:dyDescent="0.35">
      <c r="A551" s="16"/>
      <c r="B551" s="25"/>
      <c r="C551" s="26"/>
      <c r="D551" s="16"/>
      <c r="E551" s="25"/>
      <c r="F551" s="19"/>
      <c r="G551" s="19"/>
      <c r="H551" s="16"/>
      <c r="I551" s="19"/>
      <c r="J55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1" s="33" t="str">
        <f t="shared" si="19"/>
        <v/>
      </c>
      <c r="L551" s="7"/>
      <c r="M551" s="8"/>
      <c r="N551" s="9"/>
    </row>
    <row r="552" spans="1:14" ht="237.5" x14ac:dyDescent="0.35">
      <c r="A552" s="16"/>
      <c r="B552" s="25"/>
      <c r="C552" s="26"/>
      <c r="D552" s="16"/>
      <c r="E552" s="25"/>
      <c r="F552" s="19"/>
      <c r="G552" s="19"/>
      <c r="H552" s="16"/>
      <c r="I552" s="19"/>
      <c r="J55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2" s="33" t="str">
        <f t="shared" si="19"/>
        <v/>
      </c>
      <c r="L552" s="7"/>
      <c r="M552" s="8"/>
      <c r="N552" s="9"/>
    </row>
    <row r="553" spans="1:14" ht="237.5" x14ac:dyDescent="0.35">
      <c r="A553" s="16"/>
      <c r="B553" s="25"/>
      <c r="C553" s="26"/>
      <c r="D553" s="16"/>
      <c r="E553" s="25"/>
      <c r="F553" s="19"/>
      <c r="G553" s="19"/>
      <c r="H553" s="16"/>
      <c r="I553" s="19"/>
      <c r="J55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3" s="33" t="str">
        <f t="shared" si="19"/>
        <v/>
      </c>
      <c r="L553" s="7"/>
      <c r="M553" s="8"/>
      <c r="N553" s="9"/>
    </row>
    <row r="554" spans="1:14" ht="14.5" customHeight="1" x14ac:dyDescent="0.35">
      <c r="A554" s="16">
        <v>63</v>
      </c>
      <c r="B554" s="25" t="s">
        <v>344</v>
      </c>
      <c r="C554" s="26" t="s">
        <v>291</v>
      </c>
      <c r="D554" s="16"/>
      <c r="E554" s="25" t="s">
        <v>345</v>
      </c>
      <c r="F554" s="27" t="s">
        <v>346</v>
      </c>
      <c r="G554" s="27"/>
      <c r="H554" s="16" t="s">
        <v>57</v>
      </c>
      <c r="I554" s="19" t="s">
        <v>83</v>
      </c>
      <c r="J55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4" s="33" t="str">
        <f t="shared" si="19"/>
        <v>x</v>
      </c>
      <c r="L554" s="7">
        <v>3003705</v>
      </c>
      <c r="M554" s="8" t="s">
        <v>292</v>
      </c>
      <c r="N554" s="9" t="s">
        <v>361</v>
      </c>
    </row>
    <row r="555" spans="1:14" ht="237.5" x14ac:dyDescent="0.35">
      <c r="A555" s="16"/>
      <c r="B555" s="25"/>
      <c r="C555" s="26"/>
      <c r="D555" s="16"/>
      <c r="E555" s="25"/>
      <c r="F555" s="19"/>
      <c r="G555" s="19"/>
      <c r="H555" s="16"/>
      <c r="I555" s="19"/>
      <c r="J55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5" s="33" t="str">
        <f t="shared" si="19"/>
        <v>x</v>
      </c>
      <c r="L555" s="7">
        <v>185142</v>
      </c>
      <c r="M555" s="8" t="s">
        <v>293</v>
      </c>
      <c r="N555" s="9" t="s">
        <v>359</v>
      </c>
    </row>
    <row r="556" spans="1:14" ht="237.5" x14ac:dyDescent="0.35">
      <c r="A556" s="16"/>
      <c r="B556" s="25"/>
      <c r="C556" s="26"/>
      <c r="D556" s="16"/>
      <c r="E556" s="25"/>
      <c r="F556" s="19"/>
      <c r="G556" s="19"/>
      <c r="H556" s="16"/>
      <c r="I556" s="19"/>
      <c r="J55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6" s="33" t="str">
        <f t="shared" si="19"/>
        <v/>
      </c>
      <c r="L556" s="7"/>
      <c r="M556" s="8"/>
      <c r="N556" s="9"/>
    </row>
    <row r="557" spans="1:14" ht="237.5" x14ac:dyDescent="0.35">
      <c r="A557" s="16"/>
      <c r="B557" s="25"/>
      <c r="C557" s="26"/>
      <c r="D557" s="16"/>
      <c r="E557" s="25"/>
      <c r="F557" s="19"/>
      <c r="G557" s="19"/>
      <c r="H557" s="16"/>
      <c r="I557" s="19"/>
      <c r="J55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7" s="33" t="str">
        <f t="shared" si="19"/>
        <v/>
      </c>
      <c r="L557" s="7"/>
      <c r="M557" s="8"/>
      <c r="N557" s="9"/>
    </row>
    <row r="558" spans="1:14" ht="237.5" x14ac:dyDescent="0.35">
      <c r="A558" s="16"/>
      <c r="B558" s="25"/>
      <c r="C558" s="26"/>
      <c r="D558" s="16"/>
      <c r="E558" s="25"/>
      <c r="F558" s="19"/>
      <c r="G558" s="19"/>
      <c r="H558" s="16"/>
      <c r="I558" s="19"/>
      <c r="J55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8" s="33" t="str">
        <f t="shared" si="19"/>
        <v/>
      </c>
      <c r="L558" s="7"/>
      <c r="M558" s="8"/>
      <c r="N558" s="9"/>
    </row>
    <row r="559" spans="1:14" ht="237.5" x14ac:dyDescent="0.35">
      <c r="A559" s="16"/>
      <c r="B559" s="25"/>
      <c r="C559" s="26"/>
      <c r="D559" s="16"/>
      <c r="E559" s="25"/>
      <c r="F559" s="19"/>
      <c r="G559" s="19"/>
      <c r="H559" s="16"/>
      <c r="I559" s="19"/>
      <c r="J55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59" s="33" t="str">
        <f t="shared" si="19"/>
        <v/>
      </c>
      <c r="L559" s="7"/>
      <c r="M559" s="8"/>
      <c r="N559" s="9"/>
    </row>
    <row r="560" spans="1:14" ht="237.5" x14ac:dyDescent="0.35">
      <c r="A560" s="16"/>
      <c r="B560" s="25"/>
      <c r="C560" s="26"/>
      <c r="D560" s="16"/>
      <c r="E560" s="25"/>
      <c r="F560" s="19"/>
      <c r="G560" s="19"/>
      <c r="H560" s="16"/>
      <c r="I560" s="19"/>
      <c r="J56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0" s="33" t="str">
        <f t="shared" si="19"/>
        <v/>
      </c>
      <c r="L560" s="7"/>
      <c r="M560" s="8"/>
      <c r="N560" s="9"/>
    </row>
    <row r="561" spans="1:14" ht="237.5" x14ac:dyDescent="0.35">
      <c r="A561" s="16"/>
      <c r="B561" s="25"/>
      <c r="C561" s="26"/>
      <c r="D561" s="16"/>
      <c r="E561" s="25"/>
      <c r="F561" s="19"/>
      <c r="G561" s="19"/>
      <c r="H561" s="16"/>
      <c r="I561" s="19"/>
      <c r="J56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1" s="33" t="str">
        <f t="shared" si="19"/>
        <v/>
      </c>
      <c r="L561" s="7"/>
      <c r="M561" s="8"/>
      <c r="N561" s="9"/>
    </row>
    <row r="562" spans="1:14" ht="237.5" x14ac:dyDescent="0.35">
      <c r="A562" s="16"/>
      <c r="B562" s="25"/>
      <c r="C562" s="26"/>
      <c r="D562" s="16"/>
      <c r="E562" s="25"/>
      <c r="F562" s="19"/>
      <c r="G562" s="19"/>
      <c r="H562" s="16"/>
      <c r="I562" s="19"/>
      <c r="J56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2" s="33" t="str">
        <f t="shared" si="19"/>
        <v/>
      </c>
      <c r="L562" s="7"/>
      <c r="M562" s="8"/>
      <c r="N562" s="9"/>
    </row>
    <row r="563" spans="1:14" ht="237.5" x14ac:dyDescent="0.35">
      <c r="A563" s="16"/>
      <c r="B563" s="25"/>
      <c r="C563" s="26"/>
      <c r="D563" s="16"/>
      <c r="E563" s="25"/>
      <c r="F563" s="19"/>
      <c r="G563" s="19"/>
      <c r="H563" s="16"/>
      <c r="I563" s="19"/>
      <c r="J56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3" s="33" t="str">
        <f t="shared" si="19"/>
        <v/>
      </c>
      <c r="L563" s="7"/>
      <c r="M563" s="8"/>
      <c r="N563" s="9"/>
    </row>
    <row r="564" spans="1:14" ht="237.5" x14ac:dyDescent="0.35">
      <c r="A564" s="16"/>
      <c r="B564" s="25"/>
      <c r="C564" s="26"/>
      <c r="D564" s="16"/>
      <c r="E564" s="25"/>
      <c r="F564" s="19"/>
      <c r="G564" s="19"/>
      <c r="H564" s="16"/>
      <c r="I564" s="19"/>
      <c r="J56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4" s="33" t="str">
        <f t="shared" si="19"/>
        <v/>
      </c>
      <c r="L564" s="7"/>
      <c r="M564" s="8"/>
      <c r="N564" s="9"/>
    </row>
    <row r="565" spans="1:14" ht="237.5" x14ac:dyDescent="0.35">
      <c r="A565" s="16"/>
      <c r="B565" s="25"/>
      <c r="C565" s="26"/>
      <c r="D565" s="16"/>
      <c r="E565" s="25"/>
      <c r="F565" s="19"/>
      <c r="G565" s="19"/>
      <c r="H565" s="16"/>
      <c r="I565" s="19"/>
      <c r="J56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5" s="33" t="str">
        <f t="shared" si="19"/>
        <v/>
      </c>
      <c r="L565" s="7"/>
      <c r="M565" s="8"/>
      <c r="N565" s="9"/>
    </row>
    <row r="566" spans="1:14" ht="14.5" customHeight="1" x14ac:dyDescent="0.35">
      <c r="A566" s="16">
        <v>83</v>
      </c>
      <c r="B566" s="25" t="s">
        <v>344</v>
      </c>
      <c r="C566" s="26" t="s">
        <v>301</v>
      </c>
      <c r="D566" s="16"/>
      <c r="E566" s="25" t="s">
        <v>345</v>
      </c>
      <c r="F566" s="27" t="s">
        <v>346</v>
      </c>
      <c r="G566" s="27"/>
      <c r="H566" s="16" t="s">
        <v>57</v>
      </c>
      <c r="I566" s="19" t="s">
        <v>83</v>
      </c>
      <c r="J56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6" s="33" t="str">
        <f t="shared" si="19"/>
        <v>x</v>
      </c>
      <c r="L566" s="7">
        <v>3600146</v>
      </c>
      <c r="M566" s="8" t="s">
        <v>302</v>
      </c>
      <c r="N566" s="9" t="s">
        <v>347</v>
      </c>
    </row>
    <row r="567" spans="1:14" ht="237.5" x14ac:dyDescent="0.35">
      <c r="A567" s="16"/>
      <c r="B567" s="25"/>
      <c r="C567" s="26"/>
      <c r="D567" s="16"/>
      <c r="E567" s="25"/>
      <c r="F567" s="19"/>
      <c r="G567" s="19"/>
      <c r="H567" s="16"/>
      <c r="I567" s="19"/>
      <c r="J56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7" s="33" t="str">
        <f t="shared" si="19"/>
        <v/>
      </c>
      <c r="L567" s="7"/>
      <c r="M567" s="8"/>
      <c r="N567" s="9"/>
    </row>
    <row r="568" spans="1:14" ht="237.5" x14ac:dyDescent="0.35">
      <c r="A568" s="16"/>
      <c r="B568" s="25"/>
      <c r="C568" s="26"/>
      <c r="D568" s="16"/>
      <c r="E568" s="25"/>
      <c r="F568" s="19"/>
      <c r="G568" s="19"/>
      <c r="H568" s="16"/>
      <c r="I568" s="19"/>
      <c r="J56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8" s="33" t="str">
        <f t="shared" si="19"/>
        <v/>
      </c>
      <c r="L568" s="7"/>
      <c r="M568" s="8"/>
      <c r="N568" s="9"/>
    </row>
    <row r="569" spans="1:14" ht="237.5" x14ac:dyDescent="0.35">
      <c r="A569" s="16"/>
      <c r="B569" s="25"/>
      <c r="C569" s="26"/>
      <c r="D569" s="16"/>
      <c r="E569" s="25"/>
      <c r="F569" s="19"/>
      <c r="G569" s="19"/>
      <c r="H569" s="16"/>
      <c r="I569" s="19"/>
      <c r="J56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69" s="33" t="str">
        <f t="shared" si="19"/>
        <v/>
      </c>
      <c r="L569" s="7"/>
      <c r="M569" s="8"/>
      <c r="N569" s="9"/>
    </row>
    <row r="570" spans="1:14" ht="237.5" x14ac:dyDescent="0.35">
      <c r="A570" s="16"/>
      <c r="B570" s="25"/>
      <c r="C570" s="26"/>
      <c r="D570" s="16"/>
      <c r="E570" s="25"/>
      <c r="F570" s="19"/>
      <c r="G570" s="19"/>
      <c r="H570" s="16"/>
      <c r="I570" s="19"/>
      <c r="J57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0" s="33" t="str">
        <f t="shared" si="19"/>
        <v/>
      </c>
      <c r="L570" s="7"/>
      <c r="M570" s="8"/>
      <c r="N570" s="9"/>
    </row>
    <row r="571" spans="1:14" ht="237.5" x14ac:dyDescent="0.35">
      <c r="A571" s="16"/>
      <c r="B571" s="25"/>
      <c r="C571" s="26"/>
      <c r="D571" s="16"/>
      <c r="E571" s="25"/>
      <c r="F571" s="19"/>
      <c r="G571" s="19"/>
      <c r="H571" s="16"/>
      <c r="I571" s="19"/>
      <c r="J57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1" s="33" t="str">
        <f t="shared" si="19"/>
        <v/>
      </c>
      <c r="L571" s="7"/>
      <c r="M571" s="8"/>
      <c r="N571" s="9"/>
    </row>
    <row r="572" spans="1:14" ht="237.5" x14ac:dyDescent="0.35">
      <c r="A572" s="16"/>
      <c r="B572" s="25"/>
      <c r="C572" s="26"/>
      <c r="D572" s="16"/>
      <c r="E572" s="25"/>
      <c r="F572" s="19"/>
      <c r="G572" s="19"/>
      <c r="H572" s="16"/>
      <c r="I572" s="19"/>
      <c r="J572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2" s="33" t="str">
        <f t="shared" si="19"/>
        <v/>
      </c>
      <c r="L572" s="7"/>
      <c r="M572" s="8"/>
      <c r="N572" s="9"/>
    </row>
    <row r="573" spans="1:14" ht="237.5" x14ac:dyDescent="0.35">
      <c r="A573" s="16"/>
      <c r="B573" s="25"/>
      <c r="C573" s="26"/>
      <c r="D573" s="16"/>
      <c r="E573" s="25"/>
      <c r="F573" s="19"/>
      <c r="G573" s="19"/>
      <c r="H573" s="16"/>
      <c r="I573" s="19"/>
      <c r="J573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3" s="33" t="str">
        <f t="shared" si="19"/>
        <v/>
      </c>
      <c r="L573" s="7"/>
      <c r="M573" s="8"/>
      <c r="N573" s="9"/>
    </row>
    <row r="574" spans="1:14" ht="237.5" x14ac:dyDescent="0.35">
      <c r="A574" s="16"/>
      <c r="B574" s="25"/>
      <c r="C574" s="26"/>
      <c r="D574" s="16"/>
      <c r="E574" s="25"/>
      <c r="F574" s="19"/>
      <c r="G574" s="19"/>
      <c r="H574" s="16"/>
      <c r="I574" s="19"/>
      <c r="J574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4" s="33" t="str">
        <f t="shared" si="19"/>
        <v/>
      </c>
      <c r="L574" s="7"/>
      <c r="M574" s="8"/>
      <c r="N574" s="9"/>
    </row>
    <row r="575" spans="1:14" ht="237.5" x14ac:dyDescent="0.35">
      <c r="A575" s="16"/>
      <c r="B575" s="25"/>
      <c r="C575" s="26"/>
      <c r="D575" s="16"/>
      <c r="E575" s="25"/>
      <c r="F575" s="19"/>
      <c r="G575" s="19"/>
      <c r="H575" s="16"/>
      <c r="I575" s="19"/>
      <c r="J575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5" s="33" t="str">
        <f t="shared" si="19"/>
        <v/>
      </c>
      <c r="L575" s="7"/>
      <c r="M575" s="8"/>
      <c r="N575" s="9"/>
    </row>
    <row r="576" spans="1:14" ht="237.5" x14ac:dyDescent="0.35">
      <c r="A576" s="16"/>
      <c r="B576" s="25"/>
      <c r="C576" s="26"/>
      <c r="D576" s="16"/>
      <c r="E576" s="25"/>
      <c r="F576" s="19"/>
      <c r="G576" s="19"/>
      <c r="H576" s="16"/>
      <c r="I576" s="19"/>
      <c r="J576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6" s="33" t="str">
        <f t="shared" si="19"/>
        <v/>
      </c>
      <c r="L576" s="7"/>
      <c r="M576" s="8"/>
      <c r="N576" s="9"/>
    </row>
    <row r="577" spans="1:14" ht="237.5" x14ac:dyDescent="0.35">
      <c r="A577" s="16"/>
      <c r="B577" s="25"/>
      <c r="C577" s="26"/>
      <c r="D577" s="16"/>
      <c r="E577" s="25"/>
      <c r="F577" s="19"/>
      <c r="G577" s="19"/>
      <c r="H577" s="16"/>
      <c r="I577" s="19"/>
      <c r="J577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7" s="33" t="str">
        <f t="shared" si="19"/>
        <v/>
      </c>
      <c r="L577" s="7"/>
      <c r="M577" s="8"/>
      <c r="N577" s="9"/>
    </row>
    <row r="578" spans="1:14" ht="14.5" customHeight="1" x14ac:dyDescent="0.35">
      <c r="A578" s="16">
        <v>81</v>
      </c>
      <c r="B578" s="25" t="s">
        <v>344</v>
      </c>
      <c r="C578" s="26" t="s">
        <v>314</v>
      </c>
      <c r="D578" s="16"/>
      <c r="E578" s="25" t="s">
        <v>345</v>
      </c>
      <c r="F578" s="27" t="s">
        <v>346</v>
      </c>
      <c r="G578" s="27"/>
      <c r="H578" s="16" t="s">
        <v>57</v>
      </c>
      <c r="I578" s="19" t="s">
        <v>83</v>
      </c>
      <c r="J578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8" s="33" t="str">
        <f t="shared" si="19"/>
        <v>x</v>
      </c>
      <c r="L578" s="7">
        <v>1558824</v>
      </c>
      <c r="M578" s="8" t="s">
        <v>315</v>
      </c>
      <c r="N578" s="9" t="s">
        <v>347</v>
      </c>
    </row>
    <row r="579" spans="1:14" ht="237.5" x14ac:dyDescent="0.35">
      <c r="A579" s="16"/>
      <c r="B579" s="25"/>
      <c r="C579" s="26"/>
      <c r="D579" s="16"/>
      <c r="E579" s="25"/>
      <c r="F579" s="19"/>
      <c r="G579" s="19"/>
      <c r="H579" s="16"/>
      <c r="I579" s="19"/>
      <c r="J579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79" s="33" t="str">
        <f t="shared" si="19"/>
        <v>x</v>
      </c>
      <c r="L579" s="7">
        <v>3063980</v>
      </c>
      <c r="M579" s="8" t="s">
        <v>316</v>
      </c>
      <c r="N579" s="9" t="s">
        <v>347</v>
      </c>
    </row>
    <row r="580" spans="1:14" ht="237.5" x14ac:dyDescent="0.35">
      <c r="A580" s="16"/>
      <c r="B580" s="25"/>
      <c r="C580" s="26"/>
      <c r="D580" s="16"/>
      <c r="E580" s="25"/>
      <c r="F580" s="19"/>
      <c r="G580" s="19"/>
      <c r="H580" s="16"/>
      <c r="I580" s="19"/>
      <c r="J580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80" s="33" t="str">
        <f t="shared" si="19"/>
        <v>x</v>
      </c>
      <c r="L580" s="7">
        <v>837630</v>
      </c>
      <c r="M580" s="8" t="s">
        <v>317</v>
      </c>
      <c r="N580" s="9" t="s">
        <v>347</v>
      </c>
    </row>
    <row r="581" spans="1:14" ht="237.5" x14ac:dyDescent="0.35">
      <c r="A581" s="16"/>
      <c r="B581" s="25"/>
      <c r="C581" s="26"/>
      <c r="D581" s="16"/>
      <c r="E581" s="25"/>
      <c r="F581" s="19"/>
      <c r="G581" s="19"/>
      <c r="H581" s="16"/>
      <c r="I581" s="19"/>
      <c r="J581" s="33" t="str">
        <f t="shared" si="18"/>
        <v>-030-033-044-045-053-073-075-086-089-095-096-097-135-156-158-171-172-175-180-258-259-262-266-275-281-282-289-290-302-307-322-328-330-352-358-363-368-370-376-379-383-385-402-409-422-435-483-502-554-556-578-620-628-650-4025-4028-</v>
      </c>
      <c r="K581" s="33" t="str">
        <f t="shared" si="19"/>
        <v>x</v>
      </c>
      <c r="L581" s="7">
        <v>3538264</v>
      </c>
      <c r="M581" s="8" t="s">
        <v>318</v>
      </c>
      <c r="N581" s="9" t="s">
        <v>347</v>
      </c>
    </row>
    <row r="582" spans="1:14" ht="237.5" x14ac:dyDescent="0.35">
      <c r="A582" s="16"/>
      <c r="B582" s="25"/>
      <c r="C582" s="26"/>
      <c r="D582" s="16"/>
      <c r="E582" s="25"/>
      <c r="F582" s="19"/>
      <c r="G582" s="19"/>
      <c r="H582" s="16"/>
      <c r="I582" s="19"/>
      <c r="J582" s="33" t="str">
        <f t="shared" ref="J582:J637" si="20">IF(I582&lt;&gt;"","-"&amp;I582&amp;"-",J581)</f>
        <v>-030-033-044-045-053-073-075-086-089-095-096-097-135-156-158-171-172-175-180-258-259-262-266-275-281-282-289-290-302-307-322-328-330-352-358-363-368-370-376-379-383-385-402-409-422-435-483-502-554-556-578-620-628-650-4025-4028-</v>
      </c>
      <c r="K582" s="33" t="str">
        <f t="shared" ref="K582:K637" si="21">IF(L582="","",IF(J582="TODOS ÉXITO A NIVEL NACIONAL-","x",IFERROR(IF(VALUE(IF(L582="","",FIND($AJ$2,J582,1)))&lt;&gt;"","x",""),"")))</f>
        <v/>
      </c>
      <c r="L582" s="7"/>
      <c r="M582" s="8"/>
      <c r="N582" s="9"/>
    </row>
    <row r="583" spans="1:14" ht="237.5" x14ac:dyDescent="0.35">
      <c r="A583" s="16"/>
      <c r="B583" s="25"/>
      <c r="C583" s="26"/>
      <c r="D583" s="16"/>
      <c r="E583" s="25"/>
      <c r="F583" s="19"/>
      <c r="G583" s="19"/>
      <c r="H583" s="16"/>
      <c r="I583" s="19"/>
      <c r="J58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3" s="33" t="str">
        <f t="shared" si="21"/>
        <v/>
      </c>
      <c r="L583" s="7"/>
      <c r="M583" s="8"/>
      <c r="N583" s="9"/>
    </row>
    <row r="584" spans="1:14" ht="237.5" x14ac:dyDescent="0.35">
      <c r="A584" s="16"/>
      <c r="B584" s="25"/>
      <c r="C584" s="26"/>
      <c r="D584" s="16"/>
      <c r="E584" s="25"/>
      <c r="F584" s="19"/>
      <c r="G584" s="19"/>
      <c r="H584" s="16"/>
      <c r="I584" s="19"/>
      <c r="J58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4" s="33" t="str">
        <f t="shared" si="21"/>
        <v/>
      </c>
      <c r="L584" s="7"/>
      <c r="M584" s="8"/>
      <c r="N584" s="9"/>
    </row>
    <row r="585" spans="1:14" ht="237.5" x14ac:dyDescent="0.35">
      <c r="A585" s="16"/>
      <c r="B585" s="25"/>
      <c r="C585" s="26"/>
      <c r="D585" s="16"/>
      <c r="E585" s="25"/>
      <c r="F585" s="19"/>
      <c r="G585" s="19"/>
      <c r="H585" s="16"/>
      <c r="I585" s="19"/>
      <c r="J58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5" s="33" t="str">
        <f t="shared" si="21"/>
        <v/>
      </c>
      <c r="L585" s="7"/>
      <c r="M585" s="8"/>
      <c r="N585" s="9"/>
    </row>
    <row r="586" spans="1:14" ht="237.5" x14ac:dyDescent="0.35">
      <c r="A586" s="16"/>
      <c r="B586" s="25"/>
      <c r="C586" s="26"/>
      <c r="D586" s="16"/>
      <c r="E586" s="25"/>
      <c r="F586" s="19"/>
      <c r="G586" s="19"/>
      <c r="H586" s="16"/>
      <c r="I586" s="19"/>
      <c r="J58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6" s="33" t="str">
        <f t="shared" si="21"/>
        <v/>
      </c>
      <c r="L586" s="7"/>
      <c r="M586" s="8"/>
      <c r="N586" s="9"/>
    </row>
    <row r="587" spans="1:14" ht="237.5" x14ac:dyDescent="0.35">
      <c r="A587" s="16"/>
      <c r="B587" s="25"/>
      <c r="C587" s="26"/>
      <c r="D587" s="16"/>
      <c r="E587" s="25"/>
      <c r="F587" s="19"/>
      <c r="G587" s="19"/>
      <c r="H587" s="16"/>
      <c r="I587" s="19"/>
      <c r="J58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7" s="33" t="str">
        <f t="shared" si="21"/>
        <v/>
      </c>
      <c r="L587" s="7"/>
      <c r="M587" s="8"/>
      <c r="N587" s="9"/>
    </row>
    <row r="588" spans="1:14" ht="237.5" x14ac:dyDescent="0.35">
      <c r="A588" s="16"/>
      <c r="B588" s="25"/>
      <c r="C588" s="26"/>
      <c r="D588" s="16"/>
      <c r="E588" s="25"/>
      <c r="F588" s="19"/>
      <c r="G588" s="19"/>
      <c r="H588" s="16"/>
      <c r="I588" s="19"/>
      <c r="J588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8" s="33" t="str">
        <f t="shared" si="21"/>
        <v/>
      </c>
      <c r="L588" s="7"/>
      <c r="M588" s="8"/>
      <c r="N588" s="9"/>
    </row>
    <row r="589" spans="1:14" ht="237.5" x14ac:dyDescent="0.35">
      <c r="A589" s="16"/>
      <c r="B589" s="25"/>
      <c r="C589" s="26"/>
      <c r="D589" s="16"/>
      <c r="E589" s="25"/>
      <c r="F589" s="19"/>
      <c r="G589" s="19"/>
      <c r="H589" s="16"/>
      <c r="I589" s="19"/>
      <c r="J589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89" s="33" t="str">
        <f t="shared" si="21"/>
        <v/>
      </c>
      <c r="L589" s="7"/>
      <c r="M589" s="8"/>
      <c r="N589" s="9"/>
    </row>
    <row r="590" spans="1:14" ht="14.5" customHeight="1" x14ac:dyDescent="0.35">
      <c r="A590" s="16">
        <v>402</v>
      </c>
      <c r="B590" s="25" t="s">
        <v>344</v>
      </c>
      <c r="C590" s="26" t="s">
        <v>319</v>
      </c>
      <c r="D590" s="16"/>
      <c r="E590" s="25" t="s">
        <v>345</v>
      </c>
      <c r="F590" s="27" t="s">
        <v>346</v>
      </c>
      <c r="G590" s="27"/>
      <c r="H590" s="16" t="s">
        <v>57</v>
      </c>
      <c r="I590" s="19" t="s">
        <v>83</v>
      </c>
      <c r="J590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0" s="33" t="str">
        <f t="shared" si="21"/>
        <v>x</v>
      </c>
      <c r="L590" s="7">
        <v>1553234</v>
      </c>
      <c r="M590" s="8" t="s">
        <v>321</v>
      </c>
      <c r="N590" s="9" t="s">
        <v>347</v>
      </c>
    </row>
    <row r="591" spans="1:14" ht="237.5" x14ac:dyDescent="0.35">
      <c r="A591" s="16"/>
      <c r="B591" s="25"/>
      <c r="C591" s="26"/>
      <c r="D591" s="16"/>
      <c r="E591" s="25"/>
      <c r="F591" s="19"/>
      <c r="G591" s="19"/>
      <c r="H591" s="16"/>
      <c r="I591" s="19"/>
      <c r="J591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1" s="33" t="str">
        <f t="shared" si="21"/>
        <v>x</v>
      </c>
      <c r="L591" s="7">
        <v>1551701</v>
      </c>
      <c r="M591" s="8" t="s">
        <v>322</v>
      </c>
      <c r="N591" s="9" t="s">
        <v>347</v>
      </c>
    </row>
    <row r="592" spans="1:14" ht="237.5" x14ac:dyDescent="0.35">
      <c r="A592" s="16"/>
      <c r="B592" s="25"/>
      <c r="C592" s="26"/>
      <c r="D592" s="16"/>
      <c r="E592" s="25"/>
      <c r="F592" s="19"/>
      <c r="G592" s="19"/>
      <c r="H592" s="16"/>
      <c r="I592" s="19"/>
      <c r="J592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2" s="33" t="str">
        <f t="shared" si="21"/>
        <v>x</v>
      </c>
      <c r="L592" s="7">
        <v>3699838</v>
      </c>
      <c r="M592" s="8" t="s">
        <v>323</v>
      </c>
      <c r="N592" s="9" t="s">
        <v>347</v>
      </c>
    </row>
    <row r="593" spans="1:14" ht="237.5" x14ac:dyDescent="0.35">
      <c r="A593" s="16"/>
      <c r="B593" s="25"/>
      <c r="C593" s="26"/>
      <c r="D593" s="16"/>
      <c r="E593" s="25"/>
      <c r="F593" s="19"/>
      <c r="G593" s="19"/>
      <c r="H593" s="16"/>
      <c r="I593" s="19"/>
      <c r="J59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3" s="33" t="str">
        <f t="shared" si="21"/>
        <v>x</v>
      </c>
      <c r="L593" s="7">
        <v>1551700</v>
      </c>
      <c r="M593" s="8" t="s">
        <v>320</v>
      </c>
      <c r="N593" s="9" t="s">
        <v>347</v>
      </c>
    </row>
    <row r="594" spans="1:14" ht="237.5" x14ac:dyDescent="0.35">
      <c r="A594" s="16"/>
      <c r="B594" s="25"/>
      <c r="C594" s="26"/>
      <c r="D594" s="16"/>
      <c r="E594" s="25"/>
      <c r="F594" s="19"/>
      <c r="G594" s="19"/>
      <c r="H594" s="16"/>
      <c r="I594" s="19"/>
      <c r="J59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4" s="33" t="str">
        <f t="shared" si="21"/>
        <v>x</v>
      </c>
      <c r="L594" s="7">
        <v>1551699</v>
      </c>
      <c r="M594" s="8" t="s">
        <v>324</v>
      </c>
      <c r="N594" s="9" t="s">
        <v>347</v>
      </c>
    </row>
    <row r="595" spans="1:14" ht="237.5" x14ac:dyDescent="0.35">
      <c r="A595" s="16"/>
      <c r="B595" s="25"/>
      <c r="C595" s="26"/>
      <c r="D595" s="16"/>
      <c r="E595" s="25"/>
      <c r="F595" s="19"/>
      <c r="G595" s="19"/>
      <c r="H595" s="16"/>
      <c r="I595" s="19"/>
      <c r="J59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5" s="33" t="str">
        <f t="shared" si="21"/>
        <v>x</v>
      </c>
      <c r="L595" s="7">
        <v>3281799</v>
      </c>
      <c r="M595" s="8" t="s">
        <v>325</v>
      </c>
      <c r="N595" s="9" t="s">
        <v>347</v>
      </c>
    </row>
    <row r="596" spans="1:14" ht="237.5" x14ac:dyDescent="0.35">
      <c r="A596" s="16"/>
      <c r="B596" s="25"/>
      <c r="C596" s="26"/>
      <c r="D596" s="16"/>
      <c r="E596" s="25"/>
      <c r="F596" s="19"/>
      <c r="G596" s="19"/>
      <c r="H596" s="16"/>
      <c r="I596" s="19"/>
      <c r="J59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6" s="33" t="str">
        <f t="shared" si="21"/>
        <v/>
      </c>
      <c r="L596" s="7"/>
      <c r="M596" s="8"/>
      <c r="N596" s="9"/>
    </row>
    <row r="597" spans="1:14" ht="237.5" x14ac:dyDescent="0.35">
      <c r="A597" s="16"/>
      <c r="B597" s="25"/>
      <c r="C597" s="26"/>
      <c r="D597" s="16"/>
      <c r="E597" s="25"/>
      <c r="F597" s="19"/>
      <c r="G597" s="19"/>
      <c r="H597" s="16"/>
      <c r="I597" s="19"/>
      <c r="J59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7" s="33" t="str">
        <f t="shared" si="21"/>
        <v/>
      </c>
      <c r="L597" s="7"/>
      <c r="M597" s="8"/>
      <c r="N597" s="9"/>
    </row>
    <row r="598" spans="1:14" ht="237.5" x14ac:dyDescent="0.35">
      <c r="A598" s="16"/>
      <c r="B598" s="25"/>
      <c r="C598" s="26"/>
      <c r="D598" s="16"/>
      <c r="E598" s="25"/>
      <c r="F598" s="19"/>
      <c r="G598" s="19"/>
      <c r="H598" s="16"/>
      <c r="I598" s="19"/>
      <c r="J598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8" s="33" t="str">
        <f t="shared" si="21"/>
        <v/>
      </c>
      <c r="L598" s="7"/>
      <c r="M598" s="8"/>
      <c r="N598" s="9"/>
    </row>
    <row r="599" spans="1:14" ht="237.5" x14ac:dyDescent="0.35">
      <c r="A599" s="16"/>
      <c r="B599" s="25"/>
      <c r="C599" s="26"/>
      <c r="D599" s="16"/>
      <c r="E599" s="25"/>
      <c r="F599" s="19"/>
      <c r="G599" s="19"/>
      <c r="H599" s="16"/>
      <c r="I599" s="19"/>
      <c r="J599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599" s="33" t="str">
        <f t="shared" si="21"/>
        <v/>
      </c>
      <c r="L599" s="7"/>
      <c r="M599" s="8"/>
      <c r="N599" s="9"/>
    </row>
    <row r="600" spans="1:14" ht="237.5" x14ac:dyDescent="0.35">
      <c r="A600" s="16"/>
      <c r="B600" s="25"/>
      <c r="C600" s="26"/>
      <c r="D600" s="16"/>
      <c r="E600" s="25"/>
      <c r="F600" s="19"/>
      <c r="G600" s="19"/>
      <c r="H600" s="16"/>
      <c r="I600" s="19"/>
      <c r="J600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0" s="33" t="str">
        <f t="shared" si="21"/>
        <v/>
      </c>
      <c r="L600" s="7"/>
      <c r="M600" s="8"/>
      <c r="N600" s="9"/>
    </row>
    <row r="601" spans="1:14" ht="237.5" x14ac:dyDescent="0.35">
      <c r="A601" s="16"/>
      <c r="B601" s="25"/>
      <c r="C601" s="26"/>
      <c r="D601" s="16"/>
      <c r="E601" s="25"/>
      <c r="F601" s="19"/>
      <c r="G601" s="19"/>
      <c r="H601" s="16"/>
      <c r="I601" s="19"/>
      <c r="J601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1" s="33" t="str">
        <f t="shared" si="21"/>
        <v/>
      </c>
      <c r="L601" s="7"/>
      <c r="M601" s="8"/>
      <c r="N601" s="9"/>
    </row>
    <row r="602" spans="1:14" ht="14.5" customHeight="1" x14ac:dyDescent="0.35">
      <c r="A602" s="16">
        <v>90</v>
      </c>
      <c r="B602" s="25" t="s">
        <v>344</v>
      </c>
      <c r="C602" s="26" t="s">
        <v>326</v>
      </c>
      <c r="D602" s="16"/>
      <c r="E602" s="25" t="s">
        <v>345</v>
      </c>
      <c r="F602" s="27" t="s">
        <v>346</v>
      </c>
      <c r="G602" s="27"/>
      <c r="H602" s="16" t="s">
        <v>57</v>
      </c>
      <c r="I602" s="19" t="s">
        <v>83</v>
      </c>
      <c r="J602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2" s="33" t="str">
        <f t="shared" si="21"/>
        <v>x</v>
      </c>
      <c r="L602" s="7">
        <v>3093507</v>
      </c>
      <c r="M602" s="8" t="s">
        <v>327</v>
      </c>
      <c r="N602" s="9" t="s">
        <v>361</v>
      </c>
    </row>
    <row r="603" spans="1:14" ht="237.5" x14ac:dyDescent="0.35">
      <c r="A603" s="16"/>
      <c r="B603" s="25"/>
      <c r="C603" s="26"/>
      <c r="D603" s="16"/>
      <c r="E603" s="25"/>
      <c r="F603" s="19"/>
      <c r="G603" s="19"/>
      <c r="H603" s="16"/>
      <c r="I603" s="19"/>
      <c r="J60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3" s="33" t="str">
        <f t="shared" si="21"/>
        <v>x</v>
      </c>
      <c r="L603" s="7">
        <v>3579655</v>
      </c>
      <c r="M603" s="8" t="s">
        <v>328</v>
      </c>
      <c r="N603" s="9" t="s">
        <v>359</v>
      </c>
    </row>
    <row r="604" spans="1:14" ht="237.5" x14ac:dyDescent="0.35">
      <c r="A604" s="16"/>
      <c r="B604" s="25"/>
      <c r="C604" s="26"/>
      <c r="D604" s="16"/>
      <c r="E604" s="25"/>
      <c r="F604" s="19"/>
      <c r="G604" s="19"/>
      <c r="H604" s="16"/>
      <c r="I604" s="19"/>
      <c r="J60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4" s="33" t="str">
        <f t="shared" si="21"/>
        <v>x</v>
      </c>
      <c r="L604" s="7">
        <v>3579656</v>
      </c>
      <c r="M604" s="8" t="s">
        <v>328</v>
      </c>
      <c r="N604" s="9" t="s">
        <v>347</v>
      </c>
    </row>
    <row r="605" spans="1:14" ht="237.5" x14ac:dyDescent="0.35">
      <c r="A605" s="16"/>
      <c r="B605" s="25"/>
      <c r="C605" s="26"/>
      <c r="D605" s="16"/>
      <c r="E605" s="25"/>
      <c r="F605" s="19"/>
      <c r="G605" s="19"/>
      <c r="H605" s="16"/>
      <c r="I605" s="19"/>
      <c r="J60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5" s="33" t="str">
        <f t="shared" si="21"/>
        <v/>
      </c>
      <c r="L605" s="7"/>
      <c r="M605" s="8"/>
      <c r="N605" s="9"/>
    </row>
    <row r="606" spans="1:14" ht="237.5" x14ac:dyDescent="0.35">
      <c r="A606" s="16"/>
      <c r="B606" s="25"/>
      <c r="C606" s="26"/>
      <c r="D606" s="16"/>
      <c r="E606" s="25"/>
      <c r="F606" s="19"/>
      <c r="G606" s="19"/>
      <c r="H606" s="16"/>
      <c r="I606" s="19"/>
      <c r="J60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6" s="33" t="str">
        <f t="shared" si="21"/>
        <v/>
      </c>
      <c r="L606" s="7"/>
      <c r="M606" s="8"/>
      <c r="N606" s="9"/>
    </row>
    <row r="607" spans="1:14" ht="237.5" x14ac:dyDescent="0.35">
      <c r="A607" s="16"/>
      <c r="B607" s="25"/>
      <c r="C607" s="26"/>
      <c r="D607" s="16"/>
      <c r="E607" s="25"/>
      <c r="F607" s="19"/>
      <c r="G607" s="19"/>
      <c r="H607" s="16"/>
      <c r="I607" s="19"/>
      <c r="J60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7" s="33" t="str">
        <f t="shared" si="21"/>
        <v/>
      </c>
      <c r="L607" s="7"/>
      <c r="M607" s="8"/>
      <c r="N607" s="9"/>
    </row>
    <row r="608" spans="1:14" ht="237.5" x14ac:dyDescent="0.35">
      <c r="A608" s="16"/>
      <c r="B608" s="25"/>
      <c r="C608" s="26"/>
      <c r="D608" s="16"/>
      <c r="E608" s="25"/>
      <c r="F608" s="19"/>
      <c r="G608" s="19"/>
      <c r="H608" s="16"/>
      <c r="I608" s="19"/>
      <c r="J608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8" s="33" t="str">
        <f t="shared" si="21"/>
        <v/>
      </c>
      <c r="L608" s="7"/>
      <c r="M608" s="8"/>
      <c r="N608" s="9"/>
    </row>
    <row r="609" spans="1:14" ht="237.5" x14ac:dyDescent="0.35">
      <c r="A609" s="16"/>
      <c r="B609" s="25"/>
      <c r="C609" s="26"/>
      <c r="D609" s="16"/>
      <c r="E609" s="25"/>
      <c r="F609" s="19"/>
      <c r="G609" s="19"/>
      <c r="H609" s="16"/>
      <c r="I609" s="19"/>
      <c r="J609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09" s="33" t="str">
        <f t="shared" si="21"/>
        <v/>
      </c>
      <c r="L609" s="7"/>
      <c r="M609" s="8"/>
      <c r="N609" s="9"/>
    </row>
    <row r="610" spans="1:14" ht="237.5" x14ac:dyDescent="0.35">
      <c r="A610" s="16"/>
      <c r="B610" s="25"/>
      <c r="C610" s="26"/>
      <c r="D610" s="16"/>
      <c r="E610" s="25"/>
      <c r="F610" s="19"/>
      <c r="G610" s="19"/>
      <c r="H610" s="16"/>
      <c r="I610" s="19"/>
      <c r="J610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0" s="33" t="str">
        <f t="shared" si="21"/>
        <v/>
      </c>
      <c r="L610" s="7"/>
      <c r="M610" s="8"/>
      <c r="N610" s="9"/>
    </row>
    <row r="611" spans="1:14" ht="237.5" x14ac:dyDescent="0.35">
      <c r="A611" s="16"/>
      <c r="B611" s="25"/>
      <c r="C611" s="26"/>
      <c r="D611" s="16"/>
      <c r="E611" s="25"/>
      <c r="F611" s="19"/>
      <c r="G611" s="19"/>
      <c r="H611" s="16"/>
      <c r="I611" s="19"/>
      <c r="J611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1" s="33" t="str">
        <f t="shared" si="21"/>
        <v/>
      </c>
      <c r="L611" s="7"/>
      <c r="M611" s="8"/>
      <c r="N611" s="9"/>
    </row>
    <row r="612" spans="1:14" ht="237.5" x14ac:dyDescent="0.35">
      <c r="A612" s="16"/>
      <c r="B612" s="25"/>
      <c r="C612" s="26"/>
      <c r="D612" s="16"/>
      <c r="E612" s="25"/>
      <c r="F612" s="19"/>
      <c r="G612" s="19"/>
      <c r="H612" s="16"/>
      <c r="I612" s="19"/>
      <c r="J612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2" s="33" t="str">
        <f t="shared" si="21"/>
        <v/>
      </c>
      <c r="L612" s="7"/>
      <c r="M612" s="8"/>
      <c r="N612" s="9"/>
    </row>
    <row r="613" spans="1:14" ht="237.5" x14ac:dyDescent="0.35">
      <c r="A613" s="16"/>
      <c r="B613" s="25"/>
      <c r="C613" s="26"/>
      <c r="D613" s="16"/>
      <c r="E613" s="25"/>
      <c r="F613" s="19"/>
      <c r="G613" s="19"/>
      <c r="H613" s="16"/>
      <c r="I613" s="19"/>
      <c r="J61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3" s="33" t="str">
        <f t="shared" si="21"/>
        <v/>
      </c>
      <c r="L613" s="7"/>
      <c r="M613" s="8"/>
      <c r="N613" s="9"/>
    </row>
    <row r="614" spans="1:14" ht="14.5" customHeight="1" x14ac:dyDescent="0.35">
      <c r="A614" s="16" t="s">
        <v>330</v>
      </c>
      <c r="B614" s="25" t="s">
        <v>344</v>
      </c>
      <c r="C614" s="26" t="s">
        <v>329</v>
      </c>
      <c r="D614" s="16"/>
      <c r="E614" s="25" t="s">
        <v>345</v>
      </c>
      <c r="F614" s="27" t="s">
        <v>346</v>
      </c>
      <c r="G614" s="27"/>
      <c r="H614" s="16" t="s">
        <v>57</v>
      </c>
      <c r="I614" s="19" t="s">
        <v>83</v>
      </c>
      <c r="J61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4" s="33" t="str">
        <f t="shared" si="21"/>
        <v>x</v>
      </c>
      <c r="L614" s="7">
        <v>3571258</v>
      </c>
      <c r="M614" s="8" t="s">
        <v>331</v>
      </c>
      <c r="N614" s="9" t="s">
        <v>359</v>
      </c>
    </row>
    <row r="615" spans="1:14" ht="237.5" x14ac:dyDescent="0.35">
      <c r="A615" s="16"/>
      <c r="B615" s="25"/>
      <c r="C615" s="26"/>
      <c r="D615" s="16"/>
      <c r="E615" s="25"/>
      <c r="F615" s="19"/>
      <c r="G615" s="19"/>
      <c r="H615" s="16"/>
      <c r="I615" s="19"/>
      <c r="J61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5" s="33" t="str">
        <f t="shared" si="21"/>
        <v>x</v>
      </c>
      <c r="L615" s="7">
        <v>3064215</v>
      </c>
      <c r="M615" s="8" t="s">
        <v>332</v>
      </c>
      <c r="N615" s="9" t="s">
        <v>359</v>
      </c>
    </row>
    <row r="616" spans="1:14" ht="237.5" x14ac:dyDescent="0.35">
      <c r="A616" s="16"/>
      <c r="B616" s="25"/>
      <c r="C616" s="26"/>
      <c r="D616" s="16"/>
      <c r="E616" s="25"/>
      <c r="F616" s="19"/>
      <c r="G616" s="19"/>
      <c r="H616" s="16"/>
      <c r="I616" s="19"/>
      <c r="J61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6" s="33" t="str">
        <f t="shared" si="21"/>
        <v>x</v>
      </c>
      <c r="L616" s="7">
        <v>3641980</v>
      </c>
      <c r="M616" s="8" t="s">
        <v>333</v>
      </c>
      <c r="N616" s="9" t="s">
        <v>359</v>
      </c>
    </row>
    <row r="617" spans="1:14" ht="237.5" x14ac:dyDescent="0.35">
      <c r="A617" s="16"/>
      <c r="B617" s="25"/>
      <c r="C617" s="26"/>
      <c r="D617" s="16"/>
      <c r="E617" s="25"/>
      <c r="F617" s="19"/>
      <c r="G617" s="19"/>
      <c r="H617" s="16"/>
      <c r="I617" s="19"/>
      <c r="J61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7" s="33" t="str">
        <f t="shared" si="21"/>
        <v>x</v>
      </c>
      <c r="L617" s="7">
        <v>3641893</v>
      </c>
      <c r="M617" s="8" t="s">
        <v>334</v>
      </c>
      <c r="N617" s="9" t="s">
        <v>359</v>
      </c>
    </row>
    <row r="618" spans="1:14" ht="237.5" x14ac:dyDescent="0.35">
      <c r="A618" s="16"/>
      <c r="B618" s="25"/>
      <c r="C618" s="26"/>
      <c r="D618" s="16"/>
      <c r="E618" s="25"/>
      <c r="F618" s="19"/>
      <c r="G618" s="19"/>
      <c r="H618" s="16"/>
      <c r="I618" s="19"/>
      <c r="J618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8" s="33" t="str">
        <f t="shared" si="21"/>
        <v>x</v>
      </c>
      <c r="L618" s="7">
        <v>3555310</v>
      </c>
      <c r="M618" s="8" t="s">
        <v>335</v>
      </c>
      <c r="N618" s="9" t="s">
        <v>347</v>
      </c>
    </row>
    <row r="619" spans="1:14" ht="237.5" x14ac:dyDescent="0.35">
      <c r="A619" s="16"/>
      <c r="B619" s="25"/>
      <c r="C619" s="26"/>
      <c r="D619" s="16"/>
      <c r="E619" s="25"/>
      <c r="F619" s="19"/>
      <c r="G619" s="19"/>
      <c r="H619" s="16"/>
      <c r="I619" s="19"/>
      <c r="J619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19" s="33" t="str">
        <f t="shared" si="21"/>
        <v>x</v>
      </c>
      <c r="L619" s="7">
        <v>3697516</v>
      </c>
      <c r="M619" s="8" t="s">
        <v>336</v>
      </c>
      <c r="N619" s="9" t="s">
        <v>347</v>
      </c>
    </row>
    <row r="620" spans="1:14" ht="237.5" x14ac:dyDescent="0.35">
      <c r="A620" s="16"/>
      <c r="B620" s="25"/>
      <c r="C620" s="26"/>
      <c r="D620" s="16"/>
      <c r="E620" s="25"/>
      <c r="F620" s="19"/>
      <c r="G620" s="19"/>
      <c r="H620" s="16"/>
      <c r="I620" s="19"/>
      <c r="J620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0" s="33" t="str">
        <f t="shared" si="21"/>
        <v/>
      </c>
      <c r="L620" s="7"/>
      <c r="M620" s="8"/>
      <c r="N620" s="9"/>
    </row>
    <row r="621" spans="1:14" ht="237.5" x14ac:dyDescent="0.35">
      <c r="A621" s="16"/>
      <c r="B621" s="25"/>
      <c r="C621" s="26"/>
      <c r="D621" s="16"/>
      <c r="E621" s="25"/>
      <c r="F621" s="19"/>
      <c r="G621" s="19"/>
      <c r="H621" s="16"/>
      <c r="I621" s="19"/>
      <c r="J621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1" s="33" t="str">
        <f t="shared" si="21"/>
        <v/>
      </c>
      <c r="L621" s="7"/>
      <c r="M621" s="8"/>
      <c r="N621" s="9"/>
    </row>
    <row r="622" spans="1:14" ht="237.5" x14ac:dyDescent="0.35">
      <c r="A622" s="16"/>
      <c r="B622" s="25"/>
      <c r="C622" s="26"/>
      <c r="D622" s="16"/>
      <c r="E622" s="25"/>
      <c r="F622" s="19"/>
      <c r="G622" s="19"/>
      <c r="H622" s="16"/>
      <c r="I622" s="19"/>
      <c r="J622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2" s="33" t="str">
        <f t="shared" si="21"/>
        <v/>
      </c>
      <c r="L622" s="7"/>
      <c r="M622" s="8"/>
      <c r="N622" s="9"/>
    </row>
    <row r="623" spans="1:14" ht="237.5" x14ac:dyDescent="0.35">
      <c r="A623" s="16"/>
      <c r="B623" s="25"/>
      <c r="C623" s="26"/>
      <c r="D623" s="16"/>
      <c r="E623" s="25"/>
      <c r="F623" s="19"/>
      <c r="G623" s="19"/>
      <c r="H623" s="16"/>
      <c r="I623" s="19"/>
      <c r="J62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3" s="33" t="str">
        <f t="shared" si="21"/>
        <v/>
      </c>
      <c r="L623" s="7"/>
      <c r="M623" s="8"/>
      <c r="N623" s="9"/>
    </row>
    <row r="624" spans="1:14" ht="237.5" x14ac:dyDescent="0.35">
      <c r="A624" s="16"/>
      <c r="B624" s="25"/>
      <c r="C624" s="26"/>
      <c r="D624" s="16"/>
      <c r="E624" s="25"/>
      <c r="F624" s="19"/>
      <c r="G624" s="19"/>
      <c r="H624" s="16"/>
      <c r="I624" s="19"/>
      <c r="J62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4" s="33" t="str">
        <f t="shared" si="21"/>
        <v/>
      </c>
      <c r="L624" s="7"/>
      <c r="M624" s="8"/>
      <c r="N624" s="9"/>
    </row>
    <row r="625" spans="1:14" ht="237.5" x14ac:dyDescent="0.35">
      <c r="A625" s="16"/>
      <c r="B625" s="25"/>
      <c r="C625" s="26"/>
      <c r="D625" s="16"/>
      <c r="E625" s="25"/>
      <c r="F625" s="19"/>
      <c r="G625" s="19"/>
      <c r="H625" s="16"/>
      <c r="I625" s="19"/>
      <c r="J62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5" s="33" t="str">
        <f t="shared" si="21"/>
        <v/>
      </c>
      <c r="L625" s="7"/>
      <c r="M625" s="8"/>
      <c r="N625" s="9"/>
    </row>
    <row r="626" spans="1:14" ht="237.5" x14ac:dyDescent="0.35">
      <c r="A626" s="16">
        <v>95</v>
      </c>
      <c r="B626" s="25" t="s">
        <v>344</v>
      </c>
      <c r="C626" s="26" t="s">
        <v>357</v>
      </c>
      <c r="D626" s="16"/>
      <c r="E626" s="25" t="s">
        <v>345</v>
      </c>
      <c r="F626" s="27" t="s">
        <v>346</v>
      </c>
      <c r="G626" s="27"/>
      <c r="H626" s="16" t="s">
        <v>57</v>
      </c>
      <c r="I626" s="19" t="s">
        <v>83</v>
      </c>
      <c r="J62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6" s="33" t="str">
        <f t="shared" si="21"/>
        <v>x</v>
      </c>
      <c r="L626" s="7">
        <v>560307</v>
      </c>
      <c r="M626" s="8" t="s">
        <v>349</v>
      </c>
      <c r="N626" s="9" t="s">
        <v>354</v>
      </c>
    </row>
    <row r="627" spans="1:14" ht="237.5" x14ac:dyDescent="0.35">
      <c r="A627" s="16"/>
      <c r="B627" s="25"/>
      <c r="C627" s="26"/>
      <c r="D627" s="16"/>
      <c r="E627" s="25"/>
      <c r="F627" s="19"/>
      <c r="G627" s="19"/>
      <c r="H627" s="16"/>
      <c r="I627" s="19"/>
      <c r="J62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7" s="33" t="str">
        <f t="shared" si="21"/>
        <v>x</v>
      </c>
      <c r="L627" s="7">
        <v>467981</v>
      </c>
      <c r="M627" s="8" t="s">
        <v>350</v>
      </c>
      <c r="N627" s="9" t="s">
        <v>38</v>
      </c>
    </row>
    <row r="628" spans="1:14" ht="237.5" x14ac:dyDescent="0.35">
      <c r="A628" s="16"/>
      <c r="B628" s="25"/>
      <c r="C628" s="26"/>
      <c r="D628" s="16"/>
      <c r="E628" s="25"/>
      <c r="F628" s="19"/>
      <c r="G628" s="19"/>
      <c r="H628" s="16"/>
      <c r="I628" s="19"/>
      <c r="J628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8" s="33" t="str">
        <f t="shared" si="21"/>
        <v>x</v>
      </c>
      <c r="L628" s="7">
        <v>1447444</v>
      </c>
      <c r="M628" s="8" t="s">
        <v>351</v>
      </c>
      <c r="N628" s="9" t="s">
        <v>39</v>
      </c>
    </row>
    <row r="629" spans="1:14" ht="237.5" x14ac:dyDescent="0.35">
      <c r="A629" s="16"/>
      <c r="B629" s="25"/>
      <c r="C629" s="26"/>
      <c r="D629" s="16"/>
      <c r="E629" s="25"/>
      <c r="F629" s="19"/>
      <c r="G629" s="19"/>
      <c r="H629" s="16"/>
      <c r="I629" s="19"/>
      <c r="J629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29" s="33" t="str">
        <f t="shared" si="21"/>
        <v>x</v>
      </c>
      <c r="L629" s="7">
        <v>3019031</v>
      </c>
      <c r="M629" s="8" t="s">
        <v>352</v>
      </c>
      <c r="N629" s="9" t="s">
        <v>355</v>
      </c>
    </row>
    <row r="630" spans="1:14" ht="237.5" x14ac:dyDescent="0.35">
      <c r="A630" s="16"/>
      <c r="B630" s="25"/>
      <c r="C630" s="26"/>
      <c r="D630" s="16"/>
      <c r="E630" s="25"/>
      <c r="F630" s="19"/>
      <c r="G630" s="19"/>
      <c r="H630" s="16"/>
      <c r="I630" s="19"/>
      <c r="J630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0" s="33" t="str">
        <f t="shared" si="21"/>
        <v>x</v>
      </c>
      <c r="L630" s="7">
        <v>1729953</v>
      </c>
      <c r="M630" s="8" t="s">
        <v>353</v>
      </c>
      <c r="N630" s="9" t="s">
        <v>356</v>
      </c>
    </row>
    <row r="631" spans="1:14" ht="237.5" x14ac:dyDescent="0.35">
      <c r="A631" s="16"/>
      <c r="B631" s="25"/>
      <c r="C631" s="26"/>
      <c r="D631" s="16"/>
      <c r="E631" s="25"/>
      <c r="F631" s="19"/>
      <c r="G631" s="19"/>
      <c r="H631" s="16"/>
      <c r="I631" s="19"/>
      <c r="J631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1" s="33" t="str">
        <f t="shared" si="21"/>
        <v/>
      </c>
      <c r="L631" s="7"/>
      <c r="M631" s="8"/>
      <c r="N631" s="9"/>
    </row>
    <row r="632" spans="1:14" ht="237.5" x14ac:dyDescent="0.35">
      <c r="A632" s="16"/>
      <c r="B632" s="25"/>
      <c r="C632" s="26"/>
      <c r="D632" s="16"/>
      <c r="E632" s="25"/>
      <c r="F632" s="19"/>
      <c r="G632" s="19"/>
      <c r="H632" s="16"/>
      <c r="I632" s="19"/>
      <c r="J632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2" s="33" t="str">
        <f t="shared" si="21"/>
        <v/>
      </c>
      <c r="L632" s="7"/>
      <c r="M632" s="8"/>
      <c r="N632" s="9"/>
    </row>
    <row r="633" spans="1:14" ht="237.5" x14ac:dyDescent="0.35">
      <c r="A633" s="16"/>
      <c r="B633" s="25"/>
      <c r="C633" s="26"/>
      <c r="D633" s="16"/>
      <c r="E633" s="25"/>
      <c r="F633" s="19"/>
      <c r="G633" s="19"/>
      <c r="H633" s="16"/>
      <c r="I633" s="19"/>
      <c r="J633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3" s="33" t="str">
        <f t="shared" si="21"/>
        <v/>
      </c>
      <c r="L633" s="7"/>
      <c r="M633" s="8"/>
      <c r="N633" s="9"/>
    </row>
    <row r="634" spans="1:14" ht="237.5" x14ac:dyDescent="0.35">
      <c r="A634" s="16"/>
      <c r="B634" s="25"/>
      <c r="C634" s="26"/>
      <c r="D634" s="16"/>
      <c r="E634" s="25"/>
      <c r="F634" s="19"/>
      <c r="G634" s="19"/>
      <c r="H634" s="16"/>
      <c r="I634" s="19"/>
      <c r="J634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4" s="33" t="str">
        <f t="shared" si="21"/>
        <v/>
      </c>
      <c r="L634" s="7"/>
      <c r="M634" s="8"/>
      <c r="N634" s="9"/>
    </row>
    <row r="635" spans="1:14" ht="237.5" x14ac:dyDescent="0.35">
      <c r="A635" s="16"/>
      <c r="B635" s="25"/>
      <c r="C635" s="26"/>
      <c r="D635" s="16"/>
      <c r="E635" s="25"/>
      <c r="F635" s="19"/>
      <c r="G635" s="19"/>
      <c r="H635" s="16"/>
      <c r="I635" s="19"/>
      <c r="J635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5" s="33" t="str">
        <f t="shared" si="21"/>
        <v/>
      </c>
      <c r="L635" s="7"/>
      <c r="M635" s="8"/>
      <c r="N635" s="9"/>
    </row>
    <row r="636" spans="1:14" ht="237.5" x14ac:dyDescent="0.35">
      <c r="A636" s="16"/>
      <c r="B636" s="25"/>
      <c r="C636" s="26"/>
      <c r="D636" s="16"/>
      <c r="E636" s="25"/>
      <c r="F636" s="19"/>
      <c r="G636" s="19"/>
      <c r="H636" s="16"/>
      <c r="I636" s="19"/>
      <c r="J636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6" s="33" t="str">
        <f t="shared" si="21"/>
        <v/>
      </c>
      <c r="L636" s="7"/>
      <c r="M636" s="8"/>
      <c r="N636" s="9"/>
    </row>
    <row r="637" spans="1:14" ht="237.5" x14ac:dyDescent="0.35">
      <c r="A637" s="16"/>
      <c r="B637" s="25"/>
      <c r="C637" s="26"/>
      <c r="D637" s="16"/>
      <c r="E637" s="25"/>
      <c r="F637" s="19"/>
      <c r="G637" s="19"/>
      <c r="H637" s="16"/>
      <c r="I637" s="19"/>
      <c r="J637" s="33" t="str">
        <f t="shared" si="20"/>
        <v>-030-033-044-045-053-073-075-086-089-095-096-097-135-156-158-171-172-175-180-258-259-262-266-275-281-282-289-290-302-307-322-328-330-352-358-363-368-370-376-379-383-385-402-409-422-435-483-502-554-556-578-620-628-650-4025-4028-</v>
      </c>
      <c r="K637" s="33" t="str">
        <f t="shared" si="21"/>
        <v/>
      </c>
      <c r="L637" s="7"/>
      <c r="M637" s="8"/>
      <c r="N637" s="9"/>
    </row>
  </sheetData>
  <autoFilter ref="A2:N637" xr:uid="{B73ECF07-E3E0-4277-B86C-F7481C017D2C}"/>
  <mergeCells count="469">
    <mergeCell ref="I626:I637"/>
    <mergeCell ref="I330:I337"/>
    <mergeCell ref="A626:A637"/>
    <mergeCell ref="B626:B637"/>
    <mergeCell ref="C626:C637"/>
    <mergeCell ref="D626:D637"/>
    <mergeCell ref="E626:E637"/>
    <mergeCell ref="F626:F637"/>
    <mergeCell ref="G626:G637"/>
    <mergeCell ref="H626:H637"/>
    <mergeCell ref="I614:I625"/>
    <mergeCell ref="I602:I613"/>
    <mergeCell ref="A614:A625"/>
    <mergeCell ref="B614:B625"/>
    <mergeCell ref="C614:C625"/>
    <mergeCell ref="D614:D625"/>
    <mergeCell ref="E614:E625"/>
    <mergeCell ref="F614:F625"/>
    <mergeCell ref="G614:G625"/>
    <mergeCell ref="H614:H625"/>
    <mergeCell ref="I590:I601"/>
    <mergeCell ref="A602:A613"/>
    <mergeCell ref="I319:I329"/>
    <mergeCell ref="A330:A337"/>
    <mergeCell ref="B330:B337"/>
    <mergeCell ref="C330:C337"/>
    <mergeCell ref="D330:D337"/>
    <mergeCell ref="E330:E337"/>
    <mergeCell ref="F330:F337"/>
    <mergeCell ref="G330:G337"/>
    <mergeCell ref="H330:H337"/>
    <mergeCell ref="A319:A329"/>
    <mergeCell ref="B319:B329"/>
    <mergeCell ref="C319:C329"/>
    <mergeCell ref="D319:D329"/>
    <mergeCell ref="E319:E329"/>
    <mergeCell ref="F319:F329"/>
    <mergeCell ref="G319:G329"/>
    <mergeCell ref="H319:H329"/>
    <mergeCell ref="B602:B613"/>
    <mergeCell ref="C602:C613"/>
    <mergeCell ref="D602:D613"/>
    <mergeCell ref="E602:E613"/>
    <mergeCell ref="F602:F613"/>
    <mergeCell ref="G602:G613"/>
    <mergeCell ref="H602:H613"/>
    <mergeCell ref="I578:I589"/>
    <mergeCell ref="A590:A601"/>
    <mergeCell ref="B590:B601"/>
    <mergeCell ref="C590:C601"/>
    <mergeCell ref="D590:D601"/>
    <mergeCell ref="E590:E601"/>
    <mergeCell ref="F590:F601"/>
    <mergeCell ref="G590:G601"/>
    <mergeCell ref="H590:H601"/>
    <mergeCell ref="I305:I318"/>
    <mergeCell ref="A578:A589"/>
    <mergeCell ref="B578:B589"/>
    <mergeCell ref="C578:C589"/>
    <mergeCell ref="D578:D589"/>
    <mergeCell ref="E578:E589"/>
    <mergeCell ref="F578:F589"/>
    <mergeCell ref="G578:G589"/>
    <mergeCell ref="H578:H589"/>
    <mergeCell ref="I566:I577"/>
    <mergeCell ref="A305:A318"/>
    <mergeCell ref="B305:B318"/>
    <mergeCell ref="C305:C318"/>
    <mergeCell ref="D305:D318"/>
    <mergeCell ref="E305:E318"/>
    <mergeCell ref="F305:F318"/>
    <mergeCell ref="G305:G318"/>
    <mergeCell ref="H305:H318"/>
    <mergeCell ref="D554:D565"/>
    <mergeCell ref="E554:E565"/>
    <mergeCell ref="F554:F565"/>
    <mergeCell ref="G554:G565"/>
    <mergeCell ref="I295:I304"/>
    <mergeCell ref="A566:A577"/>
    <mergeCell ref="B566:B577"/>
    <mergeCell ref="C566:C577"/>
    <mergeCell ref="D566:D577"/>
    <mergeCell ref="E566:E577"/>
    <mergeCell ref="F566:F577"/>
    <mergeCell ref="G566:G577"/>
    <mergeCell ref="H566:H577"/>
    <mergeCell ref="I554:I565"/>
    <mergeCell ref="A295:A304"/>
    <mergeCell ref="B295:B304"/>
    <mergeCell ref="C295:C304"/>
    <mergeCell ref="D295:D304"/>
    <mergeCell ref="E295:E304"/>
    <mergeCell ref="F295:F304"/>
    <mergeCell ref="G295:G304"/>
    <mergeCell ref="H295:H304"/>
    <mergeCell ref="I542:I553"/>
    <mergeCell ref="A554:A565"/>
    <mergeCell ref="B554:B565"/>
    <mergeCell ref="C554:C565"/>
    <mergeCell ref="H554:H565"/>
    <mergeCell ref="I284:I294"/>
    <mergeCell ref="A542:A553"/>
    <mergeCell ref="B542:B553"/>
    <mergeCell ref="C542:C553"/>
    <mergeCell ref="D542:D553"/>
    <mergeCell ref="E542:E553"/>
    <mergeCell ref="F542:F553"/>
    <mergeCell ref="G542:G553"/>
    <mergeCell ref="H542:H553"/>
    <mergeCell ref="I530:I541"/>
    <mergeCell ref="A530:A541"/>
    <mergeCell ref="B530:B541"/>
    <mergeCell ref="C530:C541"/>
    <mergeCell ref="D530:D541"/>
    <mergeCell ref="E530:E541"/>
    <mergeCell ref="F530:F541"/>
    <mergeCell ref="G530:G541"/>
    <mergeCell ref="H530:H541"/>
    <mergeCell ref="I518:I529"/>
    <mergeCell ref="C494:C505"/>
    <mergeCell ref="I274:I283"/>
    <mergeCell ref="A284:A294"/>
    <mergeCell ref="B284:B294"/>
    <mergeCell ref="C284:C294"/>
    <mergeCell ref="D284:D294"/>
    <mergeCell ref="E284:E294"/>
    <mergeCell ref="F284:F294"/>
    <mergeCell ref="G284:G294"/>
    <mergeCell ref="H284:H294"/>
    <mergeCell ref="A274:A283"/>
    <mergeCell ref="B274:B283"/>
    <mergeCell ref="C274:C283"/>
    <mergeCell ref="D274:D283"/>
    <mergeCell ref="E274:E283"/>
    <mergeCell ref="F274:F283"/>
    <mergeCell ref="G274:G283"/>
    <mergeCell ref="H274:H283"/>
    <mergeCell ref="I249:I263"/>
    <mergeCell ref="I238:I248"/>
    <mergeCell ref="A249:A263"/>
    <mergeCell ref="B249:B263"/>
    <mergeCell ref="C249:C263"/>
    <mergeCell ref="D249:D263"/>
    <mergeCell ref="E249:E263"/>
    <mergeCell ref="F249:F263"/>
    <mergeCell ref="G249:G263"/>
    <mergeCell ref="H249:H263"/>
    <mergeCell ref="I223:I237"/>
    <mergeCell ref="A238:A248"/>
    <mergeCell ref="B238:B248"/>
    <mergeCell ref="C238:C248"/>
    <mergeCell ref="D238:D248"/>
    <mergeCell ref="E238:E248"/>
    <mergeCell ref="F238:F248"/>
    <mergeCell ref="G238:G248"/>
    <mergeCell ref="H238:H248"/>
    <mergeCell ref="A223:A237"/>
    <mergeCell ref="B223:B237"/>
    <mergeCell ref="C223:C237"/>
    <mergeCell ref="D223:D237"/>
    <mergeCell ref="E223:E237"/>
    <mergeCell ref="F223:F237"/>
    <mergeCell ref="G223:G237"/>
    <mergeCell ref="H223:H237"/>
    <mergeCell ref="I204:I222"/>
    <mergeCell ref="A518:A529"/>
    <mergeCell ref="B518:B529"/>
    <mergeCell ref="C518:C529"/>
    <mergeCell ref="D518:D529"/>
    <mergeCell ref="E518:E529"/>
    <mergeCell ref="F518:F529"/>
    <mergeCell ref="G518:G529"/>
    <mergeCell ref="H518:H529"/>
    <mergeCell ref="I506:I517"/>
    <mergeCell ref="I494:I505"/>
    <mergeCell ref="A506:A517"/>
    <mergeCell ref="B506:B517"/>
    <mergeCell ref="C506:C517"/>
    <mergeCell ref="D506:D517"/>
    <mergeCell ref="E506:E517"/>
    <mergeCell ref="F506:F517"/>
    <mergeCell ref="G506:G517"/>
    <mergeCell ref="H506:H517"/>
    <mergeCell ref="I482:I493"/>
    <mergeCell ref="A494:A505"/>
    <mergeCell ref="B494:B505"/>
    <mergeCell ref="A204:A222"/>
    <mergeCell ref="B204:B222"/>
    <mergeCell ref="C204:C222"/>
    <mergeCell ref="D204:D222"/>
    <mergeCell ref="E204:E222"/>
    <mergeCell ref="F204:F222"/>
    <mergeCell ref="G204:G222"/>
    <mergeCell ref="H204:H222"/>
    <mergeCell ref="I170:I184"/>
    <mergeCell ref="A185:A203"/>
    <mergeCell ref="B185:B203"/>
    <mergeCell ref="C185:C203"/>
    <mergeCell ref="D185:D203"/>
    <mergeCell ref="E185:E203"/>
    <mergeCell ref="F185:F203"/>
    <mergeCell ref="G185:G203"/>
    <mergeCell ref="H185:H203"/>
    <mergeCell ref="I185:I203"/>
    <mergeCell ref="A170:A184"/>
    <mergeCell ref="B170:B184"/>
    <mergeCell ref="C170:C184"/>
    <mergeCell ref="D170:D184"/>
    <mergeCell ref="E170:E184"/>
    <mergeCell ref="F170:F184"/>
    <mergeCell ref="G170:G184"/>
    <mergeCell ref="H170:H184"/>
    <mergeCell ref="I147:I160"/>
    <mergeCell ref="A161:A169"/>
    <mergeCell ref="B161:B169"/>
    <mergeCell ref="C161:C169"/>
    <mergeCell ref="D161:D169"/>
    <mergeCell ref="E161:E169"/>
    <mergeCell ref="F161:F169"/>
    <mergeCell ref="G161:G169"/>
    <mergeCell ref="H161:H169"/>
    <mergeCell ref="A147:A160"/>
    <mergeCell ref="B147:B160"/>
    <mergeCell ref="C147:C160"/>
    <mergeCell ref="D147:D160"/>
    <mergeCell ref="E147:E160"/>
    <mergeCell ref="F147:F160"/>
    <mergeCell ref="G147:G160"/>
    <mergeCell ref="H147:H160"/>
    <mergeCell ref="I161:I169"/>
    <mergeCell ref="D494:D505"/>
    <mergeCell ref="E494:E505"/>
    <mergeCell ref="F494:F505"/>
    <mergeCell ref="G494:G505"/>
    <mergeCell ref="H494:H505"/>
    <mergeCell ref="I470:I481"/>
    <mergeCell ref="A482:A493"/>
    <mergeCell ref="B482:B493"/>
    <mergeCell ref="C482:C493"/>
    <mergeCell ref="D482:D493"/>
    <mergeCell ref="E482:E493"/>
    <mergeCell ref="F482:F493"/>
    <mergeCell ref="G482:G493"/>
    <mergeCell ref="H482:H493"/>
    <mergeCell ref="I128:I146"/>
    <mergeCell ref="A470:A481"/>
    <mergeCell ref="B470:B481"/>
    <mergeCell ref="C470:C481"/>
    <mergeCell ref="D470:D481"/>
    <mergeCell ref="E470:E481"/>
    <mergeCell ref="F470:F481"/>
    <mergeCell ref="G470:G481"/>
    <mergeCell ref="H470:H481"/>
    <mergeCell ref="I458:I469"/>
    <mergeCell ref="I446:I457"/>
    <mergeCell ref="A458:A469"/>
    <mergeCell ref="B458:B469"/>
    <mergeCell ref="C458:C469"/>
    <mergeCell ref="D458:D469"/>
    <mergeCell ref="E458:E469"/>
    <mergeCell ref="F458:F469"/>
    <mergeCell ref="G458:G469"/>
    <mergeCell ref="H458:H469"/>
    <mergeCell ref="I434:I445"/>
    <mergeCell ref="A446:A457"/>
    <mergeCell ref="B446:B457"/>
    <mergeCell ref="A128:A146"/>
    <mergeCell ref="B128:B146"/>
    <mergeCell ref="C128:C146"/>
    <mergeCell ref="D128:D146"/>
    <mergeCell ref="E128:E146"/>
    <mergeCell ref="F128:F146"/>
    <mergeCell ref="G128:G146"/>
    <mergeCell ref="H128:H146"/>
    <mergeCell ref="I99:I108"/>
    <mergeCell ref="A109:A127"/>
    <mergeCell ref="B109:B127"/>
    <mergeCell ref="C109:C127"/>
    <mergeCell ref="D109:D127"/>
    <mergeCell ref="E109:E127"/>
    <mergeCell ref="F109:F127"/>
    <mergeCell ref="G109:G127"/>
    <mergeCell ref="H109:H127"/>
    <mergeCell ref="I109:I127"/>
    <mergeCell ref="A99:A108"/>
    <mergeCell ref="B99:B108"/>
    <mergeCell ref="C99:C108"/>
    <mergeCell ref="D99:D108"/>
    <mergeCell ref="E99:E108"/>
    <mergeCell ref="F99:F108"/>
    <mergeCell ref="G99:G108"/>
    <mergeCell ref="H99:H108"/>
    <mergeCell ref="I81:I89"/>
    <mergeCell ref="A90:A98"/>
    <mergeCell ref="B90:B98"/>
    <mergeCell ref="C90:C98"/>
    <mergeCell ref="D90:D98"/>
    <mergeCell ref="E90:E98"/>
    <mergeCell ref="F90:F98"/>
    <mergeCell ref="G90:G98"/>
    <mergeCell ref="H90:H98"/>
    <mergeCell ref="A81:A89"/>
    <mergeCell ref="B81:B89"/>
    <mergeCell ref="C81:C89"/>
    <mergeCell ref="D81:D89"/>
    <mergeCell ref="E81:E89"/>
    <mergeCell ref="F81:F89"/>
    <mergeCell ref="G81:G89"/>
    <mergeCell ref="H81:H89"/>
    <mergeCell ref="I90:I98"/>
    <mergeCell ref="C446:C457"/>
    <mergeCell ref="D446:D457"/>
    <mergeCell ref="E446:E457"/>
    <mergeCell ref="F446:F457"/>
    <mergeCell ref="G446:G457"/>
    <mergeCell ref="H446:H457"/>
    <mergeCell ref="I422:I433"/>
    <mergeCell ref="A434:A445"/>
    <mergeCell ref="B434:B445"/>
    <mergeCell ref="C434:C445"/>
    <mergeCell ref="D434:D445"/>
    <mergeCell ref="E434:E445"/>
    <mergeCell ref="F434:F445"/>
    <mergeCell ref="G434:G445"/>
    <mergeCell ref="H434:H445"/>
    <mergeCell ref="I410:I421"/>
    <mergeCell ref="A422:A433"/>
    <mergeCell ref="B422:B433"/>
    <mergeCell ref="C422:C433"/>
    <mergeCell ref="D422:D433"/>
    <mergeCell ref="E422:E433"/>
    <mergeCell ref="F422:F433"/>
    <mergeCell ref="G422:G433"/>
    <mergeCell ref="H422:H433"/>
    <mergeCell ref="I61:I70"/>
    <mergeCell ref="A410:A421"/>
    <mergeCell ref="B410:B421"/>
    <mergeCell ref="C410:C421"/>
    <mergeCell ref="D410:D421"/>
    <mergeCell ref="E410:E421"/>
    <mergeCell ref="F410:F421"/>
    <mergeCell ref="G410:G421"/>
    <mergeCell ref="H410:H421"/>
    <mergeCell ref="I71:I80"/>
    <mergeCell ref="A61:A70"/>
    <mergeCell ref="B61:B70"/>
    <mergeCell ref="C61:C70"/>
    <mergeCell ref="D61:D70"/>
    <mergeCell ref="E61:E70"/>
    <mergeCell ref="F61:F70"/>
    <mergeCell ref="G61:G70"/>
    <mergeCell ref="H61:H70"/>
    <mergeCell ref="I398:I409"/>
    <mergeCell ref="I386:I397"/>
    <mergeCell ref="A398:A409"/>
    <mergeCell ref="B398:B409"/>
    <mergeCell ref="A71:A80"/>
    <mergeCell ref="B71:B80"/>
    <mergeCell ref="C71:C80"/>
    <mergeCell ref="D71:D80"/>
    <mergeCell ref="E71:E80"/>
    <mergeCell ref="F71:F80"/>
    <mergeCell ref="G71:G80"/>
    <mergeCell ref="H71:H80"/>
    <mergeCell ref="I43:I51"/>
    <mergeCell ref="A52:A60"/>
    <mergeCell ref="B52:B60"/>
    <mergeCell ref="C52:C60"/>
    <mergeCell ref="D52:D60"/>
    <mergeCell ref="E52:E60"/>
    <mergeCell ref="F52:F60"/>
    <mergeCell ref="G52:G60"/>
    <mergeCell ref="H52:H60"/>
    <mergeCell ref="A43:A51"/>
    <mergeCell ref="B43:B51"/>
    <mergeCell ref="C43:C51"/>
    <mergeCell ref="D43:D51"/>
    <mergeCell ref="E43:E51"/>
    <mergeCell ref="F43:F51"/>
    <mergeCell ref="G43:G51"/>
    <mergeCell ref="H43:H51"/>
    <mergeCell ref="I52:I60"/>
    <mergeCell ref="I362:I373"/>
    <mergeCell ref="A350:A361"/>
    <mergeCell ref="B350:B361"/>
    <mergeCell ref="C350:C361"/>
    <mergeCell ref="C398:C409"/>
    <mergeCell ref="D398:D409"/>
    <mergeCell ref="E398:E409"/>
    <mergeCell ref="F398:F409"/>
    <mergeCell ref="G398:G409"/>
    <mergeCell ref="H398:H409"/>
    <mergeCell ref="I374:I385"/>
    <mergeCell ref="A386:A397"/>
    <mergeCell ref="B386:B397"/>
    <mergeCell ref="C386:C397"/>
    <mergeCell ref="D386:D397"/>
    <mergeCell ref="E386:E397"/>
    <mergeCell ref="F386:F397"/>
    <mergeCell ref="G386:G397"/>
    <mergeCell ref="H386:H397"/>
    <mergeCell ref="A374:A385"/>
    <mergeCell ref="B374:B385"/>
    <mergeCell ref="C374:C385"/>
    <mergeCell ref="D374:D385"/>
    <mergeCell ref="E374:E385"/>
    <mergeCell ref="F374:F385"/>
    <mergeCell ref="G374:G385"/>
    <mergeCell ref="H374:H385"/>
    <mergeCell ref="I21:I42"/>
    <mergeCell ref="A362:A373"/>
    <mergeCell ref="B362:B373"/>
    <mergeCell ref="C362:C373"/>
    <mergeCell ref="D362:D373"/>
    <mergeCell ref="E362:E373"/>
    <mergeCell ref="F362:F373"/>
    <mergeCell ref="G362:G373"/>
    <mergeCell ref="H362:H373"/>
    <mergeCell ref="I264:I273"/>
    <mergeCell ref="A264:A273"/>
    <mergeCell ref="B264:B273"/>
    <mergeCell ref="C264:C273"/>
    <mergeCell ref="D264:D273"/>
    <mergeCell ref="E264:E273"/>
    <mergeCell ref="F264:F273"/>
    <mergeCell ref="G264:G273"/>
    <mergeCell ref="I338:I349"/>
    <mergeCell ref="I350:I361"/>
    <mergeCell ref="A338:A349"/>
    <mergeCell ref="B338:B349"/>
    <mergeCell ref="C338:C349"/>
    <mergeCell ref="D338:D349"/>
    <mergeCell ref="B21:B42"/>
    <mergeCell ref="C21:C42"/>
    <mergeCell ref="D21:D42"/>
    <mergeCell ref="E21:E42"/>
    <mergeCell ref="F21:F42"/>
    <mergeCell ref="G21:G42"/>
    <mergeCell ref="H21:H42"/>
    <mergeCell ref="D350:D361"/>
    <mergeCell ref="E350:E361"/>
    <mergeCell ref="F350:F361"/>
    <mergeCell ref="G350:G361"/>
    <mergeCell ref="H350:H361"/>
    <mergeCell ref="E338:E349"/>
    <mergeCell ref="F338:F349"/>
    <mergeCell ref="G338:G349"/>
    <mergeCell ref="H338:H349"/>
    <mergeCell ref="H264:H273"/>
    <mergeCell ref="A1:N1"/>
    <mergeCell ref="I3:I11"/>
    <mergeCell ref="A12:A20"/>
    <mergeCell ref="B12:B20"/>
    <mergeCell ref="C12:C20"/>
    <mergeCell ref="D12:D20"/>
    <mergeCell ref="E12:E20"/>
    <mergeCell ref="F12:F20"/>
    <mergeCell ref="G12:G20"/>
    <mergeCell ref="H12:H20"/>
    <mergeCell ref="A3:A11"/>
    <mergeCell ref="B3:B11"/>
    <mergeCell ref="C3:C11"/>
    <mergeCell ref="D3:D11"/>
    <mergeCell ref="E3:E11"/>
    <mergeCell ref="F3:F11"/>
    <mergeCell ref="G3:G11"/>
    <mergeCell ref="H3:H11"/>
    <mergeCell ref="I12:I20"/>
    <mergeCell ref="A21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puntomania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Londono</dc:creator>
  <cp:lastModifiedBy>LUIS EDUARDO LONDOÑO GOMEZ</cp:lastModifiedBy>
  <dcterms:created xsi:type="dcterms:W3CDTF">2026-07-07T17:13:41Z</dcterms:created>
  <dcterms:modified xsi:type="dcterms:W3CDTF">2026-07-16T14:08:38Z</dcterms:modified>
</cp:coreProperties>
</file>