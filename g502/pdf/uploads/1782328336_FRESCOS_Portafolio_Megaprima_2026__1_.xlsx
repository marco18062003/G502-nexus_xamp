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exito-my.sharepoint.com/personal/lrivas_grupo-exito_com/Documents/PAC 2026/19. MEGAPRIMA/"/>
    </mc:Choice>
  </mc:AlternateContent>
  <xr:revisionPtr revIDLastSave="0" documentId="8_{51BC7A0F-0813-44BA-8928-F77043FAAC42}" xr6:coauthVersionLast="47" xr6:coauthVersionMax="47" xr10:uidLastSave="{00000000-0000-0000-0000-000000000000}"/>
  <bookViews>
    <workbookView xWindow="-120" yWindow="-120" windowWidth="20730" windowHeight="11040" tabRatio="893" firstSheet="3" activeTab="4" xr2:uid="{00000000-000D-0000-FFFF-FFFF00000000}"/>
  </bookViews>
  <sheets>
    <sheet name="INVITACIÓN-REMATE" sheetId="33" r:id="rId1"/>
    <sheet name="FRUVER" sheetId="68" r:id="rId2"/>
    <sheet name="CÁRNICOS" sheetId="69" r:id="rId3"/>
    <sheet name="HUEVOS" sheetId="71" r:id="rId4"/>
    <sheet name="ALIMENTOS CONGELADOS" sheetId="72" r:id="rId5"/>
    <sheet name="SAC" sheetId="70" r:id="rId6"/>
    <sheet name="Anexo hojaldres" sheetId="67" r:id="rId7"/>
    <sheet name="Anexo panadería artesanal" sheetId="73" r:id="rId8"/>
    <sheet name="Anexo Repostería de mercado" sheetId="74" r:id="rId9"/>
  </sheets>
  <definedNames>
    <definedName name="_xlnm._FilterDatabase" localSheetId="2" hidden="1">CÁRNICOS!$A$1:$P$1</definedName>
    <definedName name="_xlnm._FilterDatabase" localSheetId="1" hidden="1">FRUVER!$A$1:$O$1</definedName>
    <definedName name="_xlnm._FilterDatabase" localSheetId="3" hidden="1">HUEVOS!$A$1:$P$1</definedName>
    <definedName name="_xlnm._FilterDatabase" localSheetId="0" hidden="1">'INVITACIÓN-REMATE'!$A$2:$S$22</definedName>
    <definedName name="_xlnm._FilterDatabase" localSheetId="5" hidden="1">SAC!$B$1:$Q$1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7" l="1"/>
  <c r="E4" i="67"/>
  <c r="E5" i="67"/>
  <c r="E6" i="67"/>
  <c r="E7" i="67"/>
  <c r="E8" i="67"/>
  <c r="E9" i="67"/>
  <c r="E10" i="67"/>
  <c r="E11" i="67"/>
  <c r="E12" i="67"/>
  <c r="E13" i="67"/>
  <c r="E14" i="67"/>
  <c r="E15" i="67"/>
  <c r="E16" i="67"/>
  <c r="E17" i="67"/>
  <c r="E18" i="67"/>
  <c r="E19" i="67"/>
  <c r="E20" i="67"/>
  <c r="E21" i="67"/>
  <c r="E22" i="67"/>
  <c r="E23" i="67"/>
  <c r="E24" i="67"/>
  <c r="E25" i="67"/>
  <c r="E26" i="67"/>
  <c r="E27" i="67"/>
  <c r="E28" i="67"/>
  <c r="E29" i="67"/>
  <c r="E30" i="67"/>
  <c r="E31" i="67"/>
  <c r="E32" i="67"/>
  <c r="E33" i="67"/>
  <c r="E34" i="67"/>
  <c r="E35" i="67"/>
  <c r="E36" i="67"/>
  <c r="E37" i="67"/>
  <c r="E38" i="67"/>
  <c r="E39" i="67"/>
  <c r="E2" i="67"/>
</calcChain>
</file>

<file path=xl/sharedStrings.xml><?xml version="1.0" encoding="utf-8"?>
<sst xmlns="http://schemas.openxmlformats.org/spreadsheetml/2006/main" count="1962" uniqueCount="899">
  <si>
    <t>PORTAFOLIO INVITACIÓN APERTURA 26 AL 29 DE JUNIO</t>
  </si>
  <si>
    <t>FECHA INICIO</t>
  </si>
  <si>
    <t>FECHA FIN</t>
  </si>
  <si>
    <t>SUBLINEA</t>
  </si>
  <si>
    <t>ID CATEGORIA</t>
  </si>
  <si>
    <t>DESC CATEGORIA</t>
  </si>
  <si>
    <t>ID SUBCA</t>
  </si>
  <si>
    <t>DESC SUBCA</t>
  </si>
  <si>
    <t>SEGMENTO</t>
  </si>
  <si>
    <t>ID MARCA</t>
  </si>
  <si>
    <t>DESC MARCA</t>
  </si>
  <si>
    <t>PLU</t>
  </si>
  <si>
    <t>PRODUCTO</t>
  </si>
  <si>
    <t>DESCUENTO</t>
  </si>
  <si>
    <t>DESCUENTO T.E</t>
  </si>
  <si>
    <t>ESTRATEGIA COMUNICACIÓN</t>
  </si>
  <si>
    <t>EXCEPTOS</t>
  </si>
  <si>
    <t>OBSERVACION</t>
  </si>
  <si>
    <t>APLICA PREVENTA</t>
  </si>
  <si>
    <t>POS</t>
  </si>
  <si>
    <t>RES</t>
  </si>
  <si>
    <t>35% TE o 25% CMP en Carnes de res y cerdo</t>
  </si>
  <si>
    <t>X</t>
  </si>
  <si>
    <t>CERDO</t>
  </si>
  <si>
    <t>BUFALO</t>
  </si>
  <si>
    <t>EMBUTIDOS</t>
  </si>
  <si>
    <t>ANTILLANA</t>
  </si>
  <si>
    <t>PUNTAZO</t>
  </si>
  <si>
    <r>
      <rPr>
        <sz val="11"/>
        <color rgb="FF000000"/>
        <rFont val="Calibri"/>
      </rPr>
      <t xml:space="preserve">50% redimiendo </t>
    </r>
    <r>
      <rPr>
        <b/>
        <u/>
        <sz val="11"/>
        <color rgb="FF000000"/>
        <rFont val="Calibri"/>
      </rPr>
      <t>desde</t>
    </r>
    <r>
      <rPr>
        <sz val="11"/>
        <color rgb="FF000000"/>
        <rFont val="Calibri"/>
      </rPr>
      <t xml:space="preserve"> 400 Puntos Colombia en pescado congelado de las marcas o 40%CMP</t>
    </r>
  </si>
  <si>
    <t>VITAMAR</t>
  </si>
  <si>
    <t>PIETRAN</t>
  </si>
  <si>
    <t>PESQUERA DEL MAR</t>
  </si>
  <si>
    <t>FRIGOGHER</t>
  </si>
  <si>
    <t>PESCO</t>
  </si>
  <si>
    <t>MERO PEKAO?</t>
  </si>
  <si>
    <t>ANCLA Y VIENTO</t>
  </si>
  <si>
    <t>38 y 87</t>
  </si>
  <si>
    <r>
      <rPr>
        <sz val="11"/>
        <color rgb="FF000000"/>
        <rFont val="Calibri"/>
        <scheme val="minor"/>
      </rPr>
      <t xml:space="preserve">40% de dcto redimiento </t>
    </r>
    <r>
      <rPr>
        <b/>
        <u/>
        <sz val="11"/>
        <color rgb="FF000000"/>
        <rFont val="Calibri"/>
        <scheme val="minor"/>
      </rPr>
      <t>desde</t>
    </r>
    <r>
      <rPr>
        <sz val="11"/>
        <color rgb="FF000000"/>
        <rFont val="Calibri"/>
        <scheme val="minor"/>
      </rPr>
      <t xml:space="preserve"> 400 Puntos Colombia en todo el pollo fresco o congelado</t>
    </r>
  </si>
  <si>
    <t>EXCEPTOS: 1037537-1037530-1037525</t>
  </si>
  <si>
    <t>HUEVOS DE GALLINA</t>
  </si>
  <si>
    <t>62776 - 23512</t>
  </si>
  <si>
    <t>KIKES</t>
  </si>
  <si>
    <t>40%CMP o 50% T.E en Huevos de marcas seleccionadas</t>
  </si>
  <si>
    <t xml:space="preserve">EXCEPTO: No aplica en TAEQ. No aplica en huevos amarrados PLU 1032680 - 835770 </t>
  </si>
  <si>
    <t>431 - 57581</t>
  </si>
  <si>
    <t xml:space="preserve">NÁPOLES </t>
  </si>
  <si>
    <t>5253 - 57580</t>
  </si>
  <si>
    <t xml:space="preserve">SANTA ANITA </t>
  </si>
  <si>
    <t xml:space="preserve">HUEVOS ORO </t>
  </si>
  <si>
    <t xml:space="preserve"> SANTA REYES </t>
  </si>
  <si>
    <t>AVINAL</t>
  </si>
  <si>
    <t>Huevo AA*12 Unds Avinal</t>
  </si>
  <si>
    <t>N/A</t>
  </si>
  <si>
    <t xml:space="preserve">CASABLANCA </t>
  </si>
  <si>
    <t> </t>
  </si>
  <si>
    <t>CARNES FRIAS</t>
  </si>
  <si>
    <t>ZENU</t>
  </si>
  <si>
    <t>COLANTA</t>
  </si>
  <si>
    <t>MONTICELLO</t>
  </si>
  <si>
    <t>DELICATESSEN</t>
  </si>
  <si>
    <t>QUESOS</t>
  </si>
  <si>
    <t>TODOS LOS QUESOS DEL DELICATESSEN</t>
  </si>
  <si>
    <t>REMATE</t>
  </si>
  <si>
    <t>GALLINA FELIZ</t>
  </si>
  <si>
    <t xml:space="preserve">HUEVOS DE LA MARCA GALLINA FELIZ </t>
  </si>
  <si>
    <t>Publicar</t>
  </si>
  <si>
    <t>Fecha inicio</t>
  </si>
  <si>
    <t>Fecha fin</t>
  </si>
  <si>
    <t>PLU DESC</t>
  </si>
  <si>
    <t>PRESENTACIÓN</t>
  </si>
  <si>
    <t>Observación</t>
  </si>
  <si>
    <t>SI</t>
  </si>
  <si>
    <t>ARANDANOS (blue berrie)</t>
  </si>
  <si>
    <t>125g</t>
  </si>
  <si>
    <t>PAGUE 2 LLEVE 3</t>
  </si>
  <si>
    <t>Arandanos</t>
  </si>
  <si>
    <t>FRESCAMPO</t>
  </si>
  <si>
    <t>1072-1409</t>
  </si>
  <si>
    <t>Piña Gold (Oro miel)</t>
  </si>
  <si>
    <t>500 g</t>
  </si>
  <si>
    <t>Banano</t>
  </si>
  <si>
    <t>1055-1608</t>
  </si>
  <si>
    <t>Limón Tahití granel</t>
  </si>
  <si>
    <t>Limón Tahití malla</t>
  </si>
  <si>
    <t>1000g</t>
  </si>
  <si>
    <t xml:space="preserve"> TAEQ </t>
  </si>
  <si>
    <t>Tomate de arbol</t>
  </si>
  <si>
    <t>705625 - 3181315 - 1091480</t>
  </si>
  <si>
    <t>Ciruela Roja Nacional</t>
  </si>
  <si>
    <t>500 g y malla</t>
  </si>
  <si>
    <t>14544 y 50000</t>
  </si>
  <si>
    <t>Manzana Combinada</t>
  </si>
  <si>
    <t>Manzana verde bolsa</t>
  </si>
  <si>
    <t>50% dcto redimiendo 400 pCo</t>
  </si>
  <si>
    <t xml:space="preserve">Kiwi </t>
  </si>
  <si>
    <t>Kiwi Malla</t>
  </si>
  <si>
    <t>Mandarina Importada Granel</t>
  </si>
  <si>
    <t>Mandarina Importada Malla</t>
  </si>
  <si>
    <t xml:space="preserve">Fresa Congelada </t>
  </si>
  <si>
    <t>FRUTINAL</t>
  </si>
  <si>
    <t>PAGUE 1 LLEVE 2</t>
  </si>
  <si>
    <t>1532 - 1150</t>
  </si>
  <si>
    <t>Aguacate Hass</t>
  </si>
  <si>
    <t>Platano bolsa (Insuperable)</t>
  </si>
  <si>
    <t>1600g</t>
  </si>
  <si>
    <t xml:space="preserve"> FRESCAMPO</t>
  </si>
  <si>
    <t>Platano Bolsa</t>
  </si>
  <si>
    <t>1000 g</t>
  </si>
  <si>
    <t>764230- 3181307- 319631- 3481658- 3660775</t>
  </si>
  <si>
    <t>Tomate cherry  y uvalina</t>
  </si>
  <si>
    <t>250-500g</t>
  </si>
  <si>
    <t>880931- 3555326- 3276494</t>
  </si>
  <si>
    <t>Cogollito Europeo</t>
  </si>
  <si>
    <t>250g</t>
  </si>
  <si>
    <t xml:space="preserve"> TAEQ</t>
  </si>
  <si>
    <t>471077- 262223-1703788</t>
  </si>
  <si>
    <t>Lechuga Verde Crespa Hidroponica</t>
  </si>
  <si>
    <t>170 g</t>
  </si>
  <si>
    <t>1297 - 1490 - 1192</t>
  </si>
  <si>
    <t>Cebolla Blanca Granel</t>
  </si>
  <si>
    <t>KILOGRAMO</t>
  </si>
  <si>
    <t>SIN MARCA</t>
  </si>
  <si>
    <t>Cebolla blanca Semipelada</t>
  </si>
  <si>
    <t>Jugo de Mandarina (Insuperable)</t>
  </si>
  <si>
    <t>1000ml</t>
  </si>
  <si>
    <t>CARULLA</t>
  </si>
  <si>
    <t xml:space="preserve"> 3309206 - 3394738- 3394739 - 3394740- 3526556- 3530788​ - 3810456</t>
  </si>
  <si>
    <t>Subcat: 5570 UNTABLES</t>
  </si>
  <si>
    <t>UNIDAD</t>
  </si>
  <si>
    <t>TODAS LAS MARCAS</t>
  </si>
  <si>
    <t>NO</t>
  </si>
  <si>
    <t>Aloe vera + colageno</t>
  </si>
  <si>
    <t>PESCADERÍA</t>
  </si>
  <si>
    <t>Filete de salmón fresco</t>
  </si>
  <si>
    <t xml:space="preserve">40% de dcto redimiendo 400 puntos por *500 gramos </t>
  </si>
  <si>
    <t>SÁBADO</t>
  </si>
  <si>
    <t>Camarón broken</t>
  </si>
  <si>
    <t>TODA LA VIGENCIA</t>
  </si>
  <si>
    <t>Pescado seco</t>
  </si>
  <si>
    <t>Filete de bagre (basa)</t>
  </si>
  <si>
    <t>Tilapia negra (Aplica solo en Zona 4-Costa)</t>
  </si>
  <si>
    <t>Cabezas de tilapia negra</t>
  </si>
  <si>
    <t>3543514; 3543515; 1225135; 3459229; 3790541; 3526221; 1836219; 552920; 3172231; 3172234; 292150; 1743384; 3760719</t>
  </si>
  <si>
    <t xml:space="preserve">Filete de tilapia congelado de las marcas </t>
  </si>
  <si>
    <t>PIETRÁN - VITAMAR - PESCO - MERO PEKAO! - ANTILLANA - PESQUERA DEL MAR</t>
  </si>
  <si>
    <t>Miércoles temáticos</t>
  </si>
  <si>
    <t>737288 - 875914</t>
  </si>
  <si>
    <t xml:space="preserve">Refuerzo de la Tilapia roja </t>
  </si>
  <si>
    <t>AVES</t>
  </si>
  <si>
    <t>Perniles de pollo refrigerados</t>
  </si>
  <si>
    <t>24 - 66</t>
  </si>
  <si>
    <r>
      <rPr>
        <sz val="11"/>
        <color rgb="FFFF0000"/>
        <rFont val="Calibri"/>
        <scheme val="minor"/>
      </rPr>
      <t>EXCEPTO: 1037537.</t>
    </r>
    <r>
      <rPr>
        <sz val="11"/>
        <color rgb="FF000000"/>
        <rFont val="Calibri"/>
        <scheme val="minor"/>
      </rPr>
      <t xml:space="preserve"> SÁBADO Y DOMINGO</t>
    </r>
  </si>
  <si>
    <t xml:space="preserve">Gallina, pavo y pollo entero congelado </t>
  </si>
  <si>
    <t>3310 - 4020</t>
  </si>
  <si>
    <r>
      <rPr>
        <sz val="11"/>
        <color rgb="FF000000"/>
        <rFont val="Calibri"/>
        <scheme val="minor"/>
      </rPr>
      <t xml:space="preserve">40% de dcto redimiendo </t>
    </r>
    <r>
      <rPr>
        <b/>
        <u/>
        <sz val="11"/>
        <color rgb="FF000000"/>
        <rFont val="Calibri"/>
        <scheme val="minor"/>
      </rPr>
      <t>desde</t>
    </r>
    <r>
      <rPr>
        <sz val="11"/>
        <color rgb="FF000000"/>
        <rFont val="Calibri"/>
        <scheme val="minor"/>
      </rPr>
      <t xml:space="preserve"> 300 Puntos Colombia</t>
    </r>
  </si>
  <si>
    <t>SÁBADO Y DOMINGO</t>
  </si>
  <si>
    <t>3522 - 3521 - 4010</t>
  </si>
  <si>
    <t xml:space="preserve">Pechuga blanca refrigerada </t>
  </si>
  <si>
    <t>MARTES A VIERNES</t>
  </si>
  <si>
    <t>Muslos y contramuslos refrigerados</t>
  </si>
  <si>
    <t>87-88</t>
  </si>
  <si>
    <r>
      <rPr>
        <sz val="11"/>
        <color rgb="FFFF0000"/>
        <rFont val="Calibri"/>
        <scheme val="minor"/>
      </rPr>
      <t>EXCEPTO: 1037530-1037525.</t>
    </r>
    <r>
      <rPr>
        <sz val="11"/>
        <color rgb="FF000000"/>
        <rFont val="Calibri"/>
        <scheme val="minor"/>
      </rPr>
      <t xml:space="preserve"> LUNES A VIERNES</t>
    </r>
  </si>
  <si>
    <t>23-23-64-65</t>
  </si>
  <si>
    <t xml:space="preserve">Filetes de pechuga refrigerados </t>
  </si>
  <si>
    <t>LUNES A JUEVES (remate)</t>
  </si>
  <si>
    <t>55-8554</t>
  </si>
  <si>
    <t>CARNES ROJAS</t>
  </si>
  <si>
    <t xml:space="preserve">BLOQUE #1 - 25% CMP o 35% TE en Costilla y milanesa de res y cerdo, tableado, higado congelado y chuleta económica  </t>
  </si>
  <si>
    <t>COSTILLA RES* CORRIENTE</t>
  </si>
  <si>
    <t>250 - COSTILLA DE RES</t>
  </si>
  <si>
    <t>COSTILLA RES* ESPECIAL</t>
  </si>
  <si>
    <t>COSTILLA RES EN TIRAS</t>
  </si>
  <si>
    <t>COSTILLA RES FAMILAIR EV</t>
  </si>
  <si>
    <t>COSTILLA RES EV</t>
  </si>
  <si>
    <t>COSTILLA DE RES BJ</t>
  </si>
  <si>
    <t>COSTILLA RES FAMILIAR EV</t>
  </si>
  <si>
    <t>COSTILLA CERDO</t>
  </si>
  <si>
    <t>240 - COSTILLA DE CERDO</t>
  </si>
  <si>
    <t>EXCEPTO: PLU 455621 COSTILLA CENTRO ST LOUIS</t>
  </si>
  <si>
    <t>COSTILLA CERDO*</t>
  </si>
  <si>
    <t>COSTILLA CERDO BJ</t>
  </si>
  <si>
    <t>COSTILLA AHUMADA COCIDA</t>
  </si>
  <si>
    <t>COSTILLA PROMOCIN</t>
  </si>
  <si>
    <t>COSTILLA CERDO CARNUDA</t>
  </si>
  <si>
    <t>COSTILLA PARRILLERA</t>
  </si>
  <si>
    <t>COSTILLA DE CERDO EV</t>
  </si>
  <si>
    <t>COSTILLA DE CERDO ECONOMICA</t>
  </si>
  <si>
    <t>BABY BACK RIBS</t>
  </si>
  <si>
    <t>COSTILLA DE CERDO CRUDA SAINT</t>
  </si>
  <si>
    <t>COSTILLA CARNUDA DE CERDO TF</t>
  </si>
  <si>
    <t>COSTILLA DE CERDO AHU BBQ</t>
  </si>
  <si>
    <t>BIFE PARRILLERO DE CERDO</t>
  </si>
  <si>
    <t>COSTILLA DE CERDO BABY BACK EV</t>
  </si>
  <si>
    <t xml:space="preserve">COSTILLA CERDO ST. LOUIS </t>
  </si>
  <si>
    <t>COSTILLA CON TOCINO</t>
  </si>
  <si>
    <t>Costilla de cerdo congelada</t>
  </si>
  <si>
    <t>Costilla Baby Back</t>
  </si>
  <si>
    <t>Costilla St Louis Entera</t>
  </si>
  <si>
    <t>Milanesa de cerdo Familiar TF</t>
  </si>
  <si>
    <t>150 - MILANESA DE CERDO</t>
  </si>
  <si>
    <t>Milanesa Cerdo Bj</t>
  </si>
  <si>
    <t>Milanesa De Cerdo</t>
  </si>
  <si>
    <t>PIERNA CERDO* CORRIENTE</t>
  </si>
  <si>
    <t>MILANESA CERDO BJ</t>
  </si>
  <si>
    <t>Milanesa De Cerdo A.M.</t>
  </si>
  <si>
    <t>MILANESA DE CERDO E.V</t>
  </si>
  <si>
    <t>Milanesa De Res Sos Tf</t>
  </si>
  <si>
    <t>325 - MILANESA DE RES</t>
  </si>
  <si>
    <t>Milanesa De Res Familiar Ev</t>
  </si>
  <si>
    <t>MILANESA RES BJ</t>
  </si>
  <si>
    <t>Milanesa Res</t>
  </si>
  <si>
    <t>MILANESA RES* SI</t>
  </si>
  <si>
    <t>MILANESA DE RES EV</t>
  </si>
  <si>
    <t>Res Milanesa</t>
  </si>
  <si>
    <t>PEPINO RES*</t>
  </si>
  <si>
    <t>470 - TABLEADO</t>
  </si>
  <si>
    <t>MURILLO O TABLIADO DE RES TF</t>
  </si>
  <si>
    <t>Murillo Sos Tf</t>
  </si>
  <si>
    <t>Tabliado Selecto</t>
  </si>
  <si>
    <t>Chuleta Económica de Cerdo</t>
  </si>
  <si>
    <t>A PLU</t>
  </si>
  <si>
    <t>Hígado de Res</t>
  </si>
  <si>
    <t>BLOQUE #2 - 25% CMP o 35% TE en Solomito de res y cerdo, carne asar freir, brazo y pierna de cerdo, callo o mondongo</t>
  </si>
  <si>
    <t>LOMO VICHE*</t>
  </si>
  <si>
    <t>450 - LOMITO DE RES</t>
  </si>
  <si>
    <t>Lomito De Res Limpio Sin Cordo</t>
  </si>
  <si>
    <t>Lomo De Res En Medallones AM</t>
  </si>
  <si>
    <t>Lomo De Res En Porcion AM</t>
  </si>
  <si>
    <t>LOMITO LIMPIO</t>
  </si>
  <si>
    <t>SOLOMITO CERDO*</t>
  </si>
  <si>
    <t>295 - LOMITO DE CERDO</t>
  </si>
  <si>
    <t>LOMITO DE CERDO BJ</t>
  </si>
  <si>
    <t>Lomito De Cerdo</t>
  </si>
  <si>
    <t>LOMITO DE CERDO REFRIFERADO</t>
  </si>
  <si>
    <t>Lomito de Cerdo Pork</t>
  </si>
  <si>
    <t>CARNES ASAR FREIR SI</t>
  </si>
  <si>
    <t>145 - CARNE ASAR FREIR</t>
  </si>
  <si>
    <t>CARNE ASAR FREIR BJA</t>
  </si>
  <si>
    <t>CARNE SALADA BJ</t>
  </si>
  <si>
    <t>CARNE ASAR FAMILIAR BJ</t>
  </si>
  <si>
    <t>ASAR FREIR TF</t>
  </si>
  <si>
    <t>FALDA*</t>
  </si>
  <si>
    <t>CARNE ASAR FAMILIAR TF</t>
  </si>
  <si>
    <t>COMBO CARNE 3 LB</t>
  </si>
  <si>
    <t>PULGAREJO O ENTRANITA DE RES</t>
  </si>
  <si>
    <t>CARNE ASAR-FREIR SOS TF</t>
  </si>
  <si>
    <t>CNE ASAR FAMILIAR SOS X KG TF</t>
  </si>
  <si>
    <t xml:space="preserve">Vacio                         </t>
  </si>
  <si>
    <t>Pierna de cerdo corriente</t>
  </si>
  <si>
    <t>Brazo de cerdo</t>
  </si>
  <si>
    <t>Pulpa pernil de cerdo congelada</t>
  </si>
  <si>
    <t>Pulpa paleta de cerdo</t>
  </si>
  <si>
    <t>Milanesa de cerdo E.V</t>
  </si>
  <si>
    <t xml:space="preserve">Milanesa de cerdo Familiar TF  </t>
  </si>
  <si>
    <t>Callo*</t>
  </si>
  <si>
    <t xml:space="preserve">A PLU </t>
  </si>
  <si>
    <t>Mondongo</t>
  </si>
  <si>
    <t xml:space="preserve">Callo de Res en Lonjas EV </t>
  </si>
  <si>
    <t>Callo de res trocitos E.V.</t>
  </si>
  <si>
    <r>
      <rPr>
        <b/>
        <sz val="11"/>
        <color rgb="FF000000"/>
        <rFont val="Calibri"/>
        <scheme val="minor"/>
      </rPr>
      <t>BLOQUE #3 - 25% CMP o 35% TE en molida de res y cerdo, tocino, chuleta especial, muchacho y hueso de res (*</t>
    </r>
    <r>
      <rPr>
        <b/>
        <i/>
        <sz val="11"/>
        <color rgb="FF000000"/>
        <rFont val="Calibri"/>
        <scheme val="minor"/>
      </rPr>
      <t>no incluir en comunicación el hueso de res</t>
    </r>
    <r>
      <rPr>
        <b/>
        <sz val="11"/>
        <color rgb="FF000000"/>
        <rFont val="Calibri"/>
        <scheme val="minor"/>
      </rPr>
      <t>)</t>
    </r>
  </si>
  <si>
    <t>Tocineta*</t>
  </si>
  <si>
    <t>Tocino Barriguero</t>
  </si>
  <si>
    <t xml:space="preserve">Tocino Carnudo Congelado </t>
  </si>
  <si>
    <t>Tocino carnudo TF</t>
  </si>
  <si>
    <t>Tocino</t>
  </si>
  <si>
    <t>Tocino economico ev</t>
  </si>
  <si>
    <t>Papada</t>
  </si>
  <si>
    <t>Tocino Economico Si</t>
  </si>
  <si>
    <t>Tocino Económico de Cerdo</t>
  </si>
  <si>
    <t>Tocino Graso</t>
  </si>
  <si>
    <t>Garra De Cerdo</t>
  </si>
  <si>
    <t>Chuleta De Cerdo</t>
  </si>
  <si>
    <t>Chuleta Especial Porcionada</t>
  </si>
  <si>
    <t>340 MOLIDA DE RES</t>
  </si>
  <si>
    <t>EXCEPTO PLU: 1030607, 1030608, 3616881, 3206849</t>
  </si>
  <si>
    <t>340 MOLIDAS LV</t>
  </si>
  <si>
    <t>335 MOLIDAS CERDO</t>
  </si>
  <si>
    <t xml:space="preserve">Muchacho </t>
  </si>
  <si>
    <t>Muchacho de Res TF</t>
  </si>
  <si>
    <t>Muchacho Selecto</t>
  </si>
  <si>
    <t>Hueso de cogote</t>
  </si>
  <si>
    <t>Hueso res promoción</t>
  </si>
  <si>
    <t>Hueso res</t>
  </si>
  <si>
    <t>Hueso de Res PEB</t>
  </si>
  <si>
    <t>35% CMP EN CADERITA, TOCINO CONGELADO, EMBUTIDOS Y HAMBURGUESAS REFRIGERADAS</t>
  </si>
  <si>
    <t>Caderita de res Asar</t>
  </si>
  <si>
    <t>Cadera de res T.F</t>
  </si>
  <si>
    <t>Tocino Carnudo congelado</t>
  </si>
  <si>
    <t xml:space="preserve">EMBUTIDOS </t>
  </si>
  <si>
    <t>760 - HAMBURGUESAS REFRIGERADAS</t>
  </si>
  <si>
    <t xml:space="preserve">35% CMP EN COSTILLA ST. LOUIS, LOMO DE CERDO C/C, TABLA O CENTRO DE PIERNA, EMBUTIDOS Y HAMBURGUESAS REFRIGERADAS </t>
  </si>
  <si>
    <t>Costilla de cerdo St Louis</t>
  </si>
  <si>
    <t>lomo de cerdo c/c</t>
  </si>
  <si>
    <t>Tabla/ centro de pierna</t>
  </si>
  <si>
    <t>Centro Pierna Tajada T.F</t>
  </si>
  <si>
    <t>35% CMP EN PECHO, ESPINAZO, EMBUTIDOS Y HAMBURGUESAS REFRIGERADAS</t>
  </si>
  <si>
    <t>Pecho</t>
  </si>
  <si>
    <t>Espinazo de cerdo</t>
  </si>
  <si>
    <t>Espinazo de cerdo congelado</t>
  </si>
  <si>
    <t>Espinazo de cerdo E.V</t>
  </si>
  <si>
    <t>Espinazo de cerdo rallado</t>
  </si>
  <si>
    <t>Pezuña</t>
  </si>
  <si>
    <t>Paticas de cedo E.V</t>
  </si>
  <si>
    <t>Costilla de cerdo carnuda E.V</t>
  </si>
  <si>
    <t>POMONA</t>
  </si>
  <si>
    <t>Molida LV 450g</t>
  </si>
  <si>
    <t>TAEQ</t>
  </si>
  <si>
    <t>MOLIDA LV 950g</t>
  </si>
  <si>
    <t>Carne de cerdo molida</t>
  </si>
  <si>
    <t>Molida 80/20 lv e.v</t>
  </si>
  <si>
    <t xml:space="preserve">Huevo amarrado AA x 45 unidades </t>
  </si>
  <si>
    <t>PVP estimado $ 20,900</t>
  </si>
  <si>
    <t xml:space="preserve">Huevo amarrado AA x 15 unidades </t>
  </si>
  <si>
    <t>PVP estimado $ 7,900</t>
  </si>
  <si>
    <t xml:space="preserve">NO PUBLICADOS </t>
  </si>
  <si>
    <t>Huevo Pet *15 unds</t>
  </si>
  <si>
    <t>Huevo BIO AA *30 unds</t>
  </si>
  <si>
    <t xml:space="preserve">Huevo AA *15 Unds </t>
  </si>
  <si>
    <t>Huevo Oro AA*15 unds</t>
  </si>
  <si>
    <t>HUEVOS ORO</t>
  </si>
  <si>
    <t>Huevo Pet *30 unds</t>
  </si>
  <si>
    <t>Huevo  AA *30 unds</t>
  </si>
  <si>
    <t>NÁPOLES</t>
  </si>
  <si>
    <t>Huevo AA *30 unds</t>
  </si>
  <si>
    <t>SANTA REYES</t>
  </si>
  <si>
    <t>3598388 - 172836</t>
  </si>
  <si>
    <t>Huevo AA *30 unds y Huevo Libre Jaula *30 unds</t>
  </si>
  <si>
    <t>Huevo Omega*30 Unds</t>
  </si>
  <si>
    <t>Huevo Pet Kikes*30 unds</t>
  </si>
  <si>
    <t>Huevo BIO AA*30Unds</t>
  </si>
  <si>
    <t>Huevo Oro AA campesino*30 unds</t>
  </si>
  <si>
    <t>SÁBADOS: VEGETALES, HAMBURGUESAS Y APANADOS DE POLLO CONGELADOS</t>
  </si>
  <si>
    <t>25% de dcto vegetales congelados</t>
  </si>
  <si>
    <t>VEGETALES CONGELADOS</t>
  </si>
  <si>
    <t>25% de dcto en hamburguesas congeladas</t>
  </si>
  <si>
    <t>HAMBURGUESAS DE RES CONGELADAS</t>
  </si>
  <si>
    <t>APANADOS CONGELADOS</t>
  </si>
  <si>
    <t>ZENÚ - KOKORIKO - KERRIKO - BGETAL - FRIKO</t>
  </si>
  <si>
    <t>SI. PAGINA ADICIONAL</t>
  </si>
  <si>
    <t>Rapi papa delgadas x 1.000g</t>
  </si>
  <si>
    <t>MC CAIN</t>
  </si>
  <si>
    <t>Papas Airfryer extradelgadas x 700g</t>
  </si>
  <si>
    <t>Papas ZigZag x 1.500g</t>
  </si>
  <si>
    <t>Maíz en grano congelado x 500g</t>
  </si>
  <si>
    <t>Nuggets de pollo x 300g</t>
  </si>
  <si>
    <t>Helado Chocolate</t>
  </si>
  <si>
    <t>ICE &amp; JOY</t>
  </si>
  <si>
    <t>$14,500 C/U</t>
  </si>
  <si>
    <t>Helado Fresa</t>
  </si>
  <si>
    <t>Helado Vainilla</t>
  </si>
  <si>
    <t>Frambuesas Chocolate Blanco</t>
  </si>
  <si>
    <t>FRANUI</t>
  </si>
  <si>
    <t xml:space="preserve">Frambuesas Chocolate Amarg y Blanco </t>
  </si>
  <si>
    <t xml:space="preserve">Frambuesas Chocolate Pink </t>
  </si>
  <si>
    <t>Hamburguesa Angus Importada</t>
  </si>
  <si>
    <t>SM</t>
  </si>
  <si>
    <t>Hamburguesa Wagyu Importada</t>
  </si>
  <si>
    <t xml:space="preserve">Lasaña Con Pollo Congelada </t>
  </si>
  <si>
    <t>Lasaña Mixta Congelada</t>
  </si>
  <si>
    <t>Lasaña Con Carne Congelada</t>
  </si>
  <si>
    <t>Lasaña Con Pollo Congelada</t>
  </si>
  <si>
    <t xml:space="preserve">Lasaña Mixta Congelada </t>
  </si>
  <si>
    <t>Empanada Con Carne Cong</t>
  </si>
  <si>
    <t>Empanada Con Pollo Cong</t>
  </si>
  <si>
    <t>Empanada Con Queso Cong</t>
  </si>
  <si>
    <t>Nuggets de Pollo Apanado</t>
  </si>
  <si>
    <t>ZENÚ</t>
  </si>
  <si>
    <t>Pizza  Mediana Hawaiana</t>
  </si>
  <si>
    <t>PIZZAS PICCOLO</t>
  </si>
  <si>
    <t>PAGUE 3 LLEVE 4</t>
  </si>
  <si>
    <t>APLICA ZONA 1,2 Y 4</t>
  </si>
  <si>
    <t>Pizza Mediana Pepperoni</t>
  </si>
  <si>
    <t xml:space="preserve">Pizza Mediana Mixta con Salami </t>
  </si>
  <si>
    <t>Helado de chicle</t>
  </si>
  <si>
    <t>MIMO´S</t>
  </si>
  <si>
    <t>GALLETA XL X6</t>
  </si>
  <si>
    <t>RON CON PASAS LINEA CLASICA LT</t>
  </si>
  <si>
    <t xml:space="preserve">VAINILLA CLASICO 2LT </t>
  </si>
  <si>
    <t>VAINILLA LINEA CLASICA LT</t>
  </si>
  <si>
    <t>Cono Chococono Pack X6</t>
  </si>
  <si>
    <t xml:space="preserve">CREM HELADO </t>
  </si>
  <si>
    <t>Paleta Con Trozos De Fruta</t>
  </si>
  <si>
    <t>TOSH</t>
  </si>
  <si>
    <t>Paleta Mini Polet Surti Pack x 6Und</t>
  </si>
  <si>
    <t>Bocados Vainilla Cubierto Choc</t>
  </si>
  <si>
    <t xml:space="preserve">Helado Sabor Cookies </t>
  </si>
  <si>
    <t xml:space="preserve">Vaso Vainilla </t>
  </si>
  <si>
    <t>Helado Torta Frutos Rojos</t>
  </si>
  <si>
    <t xml:space="preserve">Helado Veteado De Mora </t>
  </si>
  <si>
    <t>COLOMBINA</t>
  </si>
  <si>
    <t>Nuggets Proteína Vegetal</t>
  </si>
  <si>
    <t>BGETAL</t>
  </si>
  <si>
    <t xml:space="preserve">Filete Pechuga Apanado </t>
  </si>
  <si>
    <t>FRIKO</t>
  </si>
  <si>
    <t>Trozos De Filete De Pechuga Ap 350</t>
  </si>
  <si>
    <t>Trozos De Filete De Pechuga Ap 800</t>
  </si>
  <si>
    <t xml:space="preserve">Edamame Con cascara </t>
  </si>
  <si>
    <t>BEST CHOICE</t>
  </si>
  <si>
    <t>Edamame Sin Cascara</t>
  </si>
  <si>
    <t xml:space="preserve">SPRING ROLL PASTRY X8 UNIDADES  </t>
  </si>
  <si>
    <t>SPRING HOME</t>
  </si>
  <si>
    <t>Quibbe 12 Und</t>
  </si>
  <si>
    <t>FARAH</t>
  </si>
  <si>
    <t xml:space="preserve">CARIMANOLAS C/CARNE X550G X10U </t>
  </si>
  <si>
    <t>DEDITOS DE QUESO PARA HORNEAR</t>
  </si>
  <si>
    <t>Empanada de Maiz</t>
  </si>
  <si>
    <t>FRANJA DESAYUNO</t>
  </si>
  <si>
    <t>COMIDAS PREPARADAS</t>
  </si>
  <si>
    <t>DESAYUNOS A $8,900 (INCLUYE VASO BEBIDA NESTLE)</t>
  </si>
  <si>
    <t>Desayuno ranchero</t>
  </si>
  <si>
    <t xml:space="preserve">Desayuno mexicano </t>
  </si>
  <si>
    <t>Desayuno Huevos Con Tocineta Dulce</t>
  </si>
  <si>
    <t>BEBIDA + PANZEROTTI</t>
  </si>
  <si>
    <t>CAFE LATTE GDE X 7 ONZ NESC</t>
  </si>
  <si>
    <t>POR LA COMPRA DE UNA BEBIDA CALIENTE DE NESTLE LLEVA MINI PANZEROTTI</t>
  </si>
  <si>
    <t>CAFE LATTE GDE X 9 ONZ NESC</t>
  </si>
  <si>
    <t>CAFÉ VAINILLA 7 ONZ</t>
  </si>
  <si>
    <t>CAFÉ VAINILLA X 9 ONZ</t>
  </si>
  <si>
    <t>CAPUCCINO GRANO 7Oz     nestle</t>
  </si>
  <si>
    <t>CAPUCCINO GRANO 9Oz   nestle</t>
  </si>
  <si>
    <t>CAPUCHINO 7 ONZ NESCAFE</t>
  </si>
  <si>
    <t>CAPUCHINO 9 ONZ NESCAFE</t>
  </si>
  <si>
    <t>CHOCOLATE9Oz                                          </t>
  </si>
  <si>
    <t>CAFÉ LATTE VAINILLA 09 OZ</t>
  </si>
  <si>
    <t>MILO CALIENTE X 7 ONZ NESC  </t>
  </si>
  <si>
    <t>MILO CALIENTE X 9 ONZ NESC  </t>
  </si>
  <si>
    <t>Mini Panzerotti Ranchero DM</t>
  </si>
  <si>
    <t>Mini Panzero Jamon/Queso DM</t>
  </si>
  <si>
    <t>Mini Panzerotti Hawaiano DM</t>
  </si>
  <si>
    <t>Mini Panzerotti Tocineta/Maiz DM</t>
  </si>
  <si>
    <t>EMPANADAS A $2,500</t>
  </si>
  <si>
    <t>Mini empanada casera queso ind</t>
  </si>
  <si>
    <t>Mini empanada casera pollo ind</t>
  </si>
  <si>
    <t>mini empanada de carne ind</t>
  </si>
  <si>
    <t>Empanada Carne LP</t>
  </si>
  <si>
    <t>Empanada Pollo LP</t>
  </si>
  <si>
    <t>Empanada Queso LP</t>
  </si>
  <si>
    <t>Empanada M/Luna Carne RA</t>
  </si>
  <si>
    <t>Empanada Media Luna Pollo RA</t>
  </si>
  <si>
    <t>Empanada M/Luna Queso RA</t>
  </si>
  <si>
    <t>Empanada papa carne cs</t>
  </si>
  <si>
    <t>Empanada de Lechona IND</t>
  </si>
  <si>
    <t>Empanada pollo papa cs</t>
  </si>
  <si>
    <t>Empanada Solo Carne CC</t>
  </si>
  <si>
    <t>ÉXITO CARULLA SUB ZONA 6 EXCEPTO DEPS: 64 Y 4056</t>
  </si>
  <si>
    <t>Empanada Solo Pollo CC</t>
  </si>
  <si>
    <t>Empanada Solo Queso CC</t>
  </si>
  <si>
    <t>FRANJA ALMUERZO</t>
  </si>
  <si>
    <t>ASADOS DEL DIA DESDE $20.900 (VASO COCA COLA)</t>
  </si>
  <si>
    <t>Combo chuleta a la parrilla</t>
  </si>
  <si>
    <t>LUNES A JUEVES</t>
  </si>
  <si>
    <t>Combo Churrasco de cerdo</t>
  </si>
  <si>
    <t>Combo churrasco de res</t>
  </si>
  <si>
    <t>Combo milanesa de res</t>
  </si>
  <si>
    <t>Combo pechuga asado</t>
  </si>
  <si>
    <t>VIERNES A DOMINGO</t>
  </si>
  <si>
    <t>Combo parrillada mixta</t>
  </si>
  <si>
    <t>Combo cerdo asado</t>
  </si>
  <si>
    <t>Combo salmon</t>
  </si>
  <si>
    <t>ASADO DEL DIA WOW DESDE $20.900 (VASO COCA COLA)</t>
  </si>
  <si>
    <t xml:space="preserve">Chuleta a la parrilla  </t>
  </si>
  <si>
    <t>Bondiola a la parrilla</t>
  </si>
  <si>
    <t>Churrasco a la parrilla</t>
  </si>
  <si>
    <t>Pechuga a la parrilla</t>
  </si>
  <si>
    <t>Trucha al ajillo wow</t>
  </si>
  <si>
    <t xml:space="preserve">Salmon a la parrilla </t>
  </si>
  <si>
    <t>30% DCTO EN ESPECIALIDADES Y PLATOS WOW</t>
  </si>
  <si>
    <t>Especialidad de la casa res</t>
  </si>
  <si>
    <t>Especialidad de la casa cerdo</t>
  </si>
  <si>
    <t>Especialidad de la casa pollo</t>
  </si>
  <si>
    <t>Arroz especial de la casa</t>
  </si>
  <si>
    <t>Especialidad de la casa pescado</t>
  </si>
  <si>
    <t>Plato wow posta negra</t>
  </si>
  <si>
    <t>Plato wow milanesa pollo</t>
  </si>
  <si>
    <t xml:space="preserve">Plato wow arroz atollado </t>
  </si>
  <si>
    <t>Plato wow encocado de pescado</t>
  </si>
  <si>
    <t>Plato wow bondiola finas hierbas</t>
  </si>
  <si>
    <t xml:space="preserve">Combo menu pollo apanado </t>
  </si>
  <si>
    <t>FRANJA DE ANTOJOS</t>
  </si>
  <si>
    <t>COMBOS PARA TARDEAR</t>
  </si>
  <si>
    <t>Salchipapas con todo</t>
  </si>
  <si>
    <t>Desgranado</t>
  </si>
  <si>
    <t>Patacon especial o arepa especial</t>
  </si>
  <si>
    <t>3405229; 3405226; 3229395; 812050; 690290; 574392; 123554; 123606; 3229393; 3229396; 3229394; 976856; 3229397; 123527</t>
  </si>
  <si>
    <t>Sandwich petit artesanal (Carulla)</t>
  </si>
  <si>
    <t>Sandwich tres carnes (Exito)</t>
  </si>
  <si>
    <t>Bandeja de bocatas</t>
  </si>
  <si>
    <t>Bandeja de wraps</t>
  </si>
  <si>
    <t>PUNTAZO - EN COMBOS DE HAMBURGUESA (INCLUYE LATA DE PEPSI)</t>
  </si>
  <si>
    <t>Combo H queso y tocineta</t>
  </si>
  <si>
    <t xml:space="preserve">50% DE DCTO REDIMIENDO 500 PUNTOS COLOMBIA </t>
  </si>
  <si>
    <t>Combo H Angus</t>
  </si>
  <si>
    <t>Combo H tocineta dulce</t>
  </si>
  <si>
    <t>Combo H pechuga pollo</t>
  </si>
  <si>
    <t>PANADERÍA</t>
  </si>
  <si>
    <t>CADENA EXITO</t>
  </si>
  <si>
    <t>OFERTAS REGIONALES (LA HORA DEL PAN)</t>
  </si>
  <si>
    <t>SI. VOLANTES REGIONALES PGC</t>
  </si>
  <si>
    <t xml:space="preserve">PAN MAIZ </t>
  </si>
  <si>
    <t>MEDELLIN</t>
  </si>
  <si>
    <t>ROSCON DE GUAYABA GRANDE</t>
  </si>
  <si>
    <t>BOGOTA, MEDELLIN Y CALI</t>
  </si>
  <si>
    <t>ROSCON DE AREQUIPE GRANDE</t>
  </si>
  <si>
    <t>PAN OCAÑERO</t>
  </si>
  <si>
    <t>SANTANDER</t>
  </si>
  <si>
    <t>PAN RELLENO DE QUESO</t>
  </si>
  <si>
    <t>EJE CAFETERO</t>
  </si>
  <si>
    <t>PAN LIBRA DE QUESO</t>
  </si>
  <si>
    <t>COSTA Y SANTANDER</t>
  </si>
  <si>
    <t>PAN MANTIQUESO</t>
  </si>
  <si>
    <t>COSTA Y BOGOTA</t>
  </si>
  <si>
    <t>PAN CASCARA</t>
  </si>
  <si>
    <t xml:space="preserve">PAN PIÑITA </t>
  </si>
  <si>
    <t>PANDEYUCA</t>
  </si>
  <si>
    <t>CALI Y EJE CAFETERO</t>
  </si>
  <si>
    <t>PANDEBONO</t>
  </si>
  <si>
    <t>OFERTA EXCLUSIVA (LA HORA DEL PAN)</t>
  </si>
  <si>
    <t>PAN RELLENO DE GUAYABA Y QUESO</t>
  </si>
  <si>
    <t>PAN RELLENO DE AREQUIPE Y QUESO</t>
  </si>
  <si>
    <t>PAN HAWAIANO</t>
  </si>
  <si>
    <t xml:space="preserve"> BAGUETTE Y BAGUETTON</t>
  </si>
  <si>
    <t xml:space="preserve">BAGUETTE TRADICIONAL          </t>
  </si>
  <si>
    <t>BAGUETTE</t>
  </si>
  <si>
    <t>BAGUETTE PANETTIERE</t>
  </si>
  <si>
    <t>BAGUETTON ARTESANAL</t>
  </si>
  <si>
    <t xml:space="preserve">BAGUETON      </t>
  </si>
  <si>
    <t>BAGUETTON PANETTIERE</t>
  </si>
  <si>
    <t>FIN DE SEMANA: SÁBADO, DOMINGO Y FESTIVOS</t>
  </si>
  <si>
    <t>VER HOJA ANEXA</t>
  </si>
  <si>
    <t>REFERENCIAS SELECCIONADAS DE HOJALDRES Y CROISSANTS x UND</t>
  </si>
  <si>
    <t>SÁBADO, DOMINGO Y FESTIVOS</t>
  </si>
  <si>
    <t>VIENNOSERIE EMPACADA</t>
  </si>
  <si>
    <t>CROISSANT DE QUESO X 6</t>
  </si>
  <si>
    <t>CROISSANT DE MANTEQUILLA X 6</t>
  </si>
  <si>
    <t>MINI PAN DE CHOCOLATE X 10</t>
  </si>
  <si>
    <t>MINI PAN DE UVA X 10</t>
  </si>
  <si>
    <t>PAN DE CHOCOLATE X 6</t>
  </si>
  <si>
    <t>DANESA DE UVA X 6</t>
  </si>
  <si>
    <t>CINNAMON ROLL X 6</t>
  </si>
  <si>
    <t>MINICROISSANT X 12</t>
  </si>
  <si>
    <t>CROISSANT CAPRICE DE CEREALES X 5</t>
  </si>
  <si>
    <t>HOJALDRITOS DE GUAYABA X 10</t>
  </si>
  <si>
    <t>HOJALDRITOS DE AREQUIPE X 10</t>
  </si>
  <si>
    <t>HOJALDRES SURTIDOS X 15</t>
  </si>
  <si>
    <t>DONAS PAGUE 5 LLEVE 6</t>
  </si>
  <si>
    <t>DONAS DECORADAS X 6 UNIDADES</t>
  </si>
  <si>
    <t>DONAS RELLENAS DE MORA X 6 UNIDADES</t>
  </si>
  <si>
    <t>DONAS RELLENAS DE AREQUIPE X 6 UNIDADES</t>
  </si>
  <si>
    <t>DONAS RELLENAS DE BAVARIA X 6 UNIDADES</t>
  </si>
  <si>
    <t>REPOSTERIA NO REFRIGERADA</t>
  </si>
  <si>
    <t>TORTA ENVINADA</t>
  </si>
  <si>
    <t xml:space="preserve">MINI MUFFINS SURTIDOS </t>
  </si>
  <si>
    <t>TORTA COMBINADA (NUEVA)</t>
  </si>
  <si>
    <t>REPOSTERIA REFRIGERADA</t>
  </si>
  <si>
    <t xml:space="preserve">POSTRE TRES LECHES TRADICIONAL </t>
  </si>
  <si>
    <t>TRES LECHES DE FRUTOS AMARILLO</t>
  </si>
  <si>
    <t xml:space="preserve">POSTRE TRES LECHES DE FRESA  </t>
  </si>
  <si>
    <t>POSTRE TRES LECHES DE AREQUIPE</t>
  </si>
  <si>
    <t xml:space="preserve">POSTRE TRES LECHES DE MILO  </t>
  </si>
  <si>
    <t>POSTRE TRES LECHES DE FRUTAS</t>
  </si>
  <si>
    <t>POSTRE TRES LECHES DE AREQUIPE VASO</t>
  </si>
  <si>
    <t>POSTRE TRES LECHES DE FRESA VASO</t>
  </si>
  <si>
    <t>POSTRE TRES LECHES TRADICIONAL VASO</t>
  </si>
  <si>
    <t>POSTRE TRES LECHES DE MILO VASO</t>
  </si>
  <si>
    <t>MUSELINA DE FRESAS</t>
  </si>
  <si>
    <t>TORTA TRES LECHES DE FRUTAS</t>
  </si>
  <si>
    <t>REPOSTERIA DE MERCADO</t>
  </si>
  <si>
    <t>25% DE DCTO EN LA REPOSTERIA DE MERCADO</t>
  </si>
  <si>
    <t>CADENA CARULLA</t>
  </si>
  <si>
    <t>PANES A GRANEL</t>
  </si>
  <si>
    <t xml:space="preserve"> OFERTA EXCLUSIVA (LA HORA DEL PAN)</t>
  </si>
  <si>
    <t>MOGOLLA INTEGRAL PAGUE 8 LLEVE 12</t>
  </si>
  <si>
    <t>VIENOISSERIE EMPACADA</t>
  </si>
  <si>
    <t>30% DE DESCUENTO EN PANADERIA ARTESANAL (MARTES Y MIERCOLES)</t>
  </si>
  <si>
    <t>PORTAFOLIO PANADERIA ARTESANAL</t>
  </si>
  <si>
    <t>APLICA UNICAMENTE MARTES Y MIÉRCOLES</t>
  </si>
  <si>
    <t>CARNES FRIAS Y DELICATESSEN</t>
  </si>
  <si>
    <t>POR COMPRAS IGUALES O SUPERIORES A $40,000 EN PRODUCTOS DEL DELICATESSEN, LLEVA 30% DE DESCUENTO EN CERVEZA STELLA ARTOIS.  Maximo  2 sixpack por cliente y transacción.</t>
  </si>
  <si>
    <t>CHORIZO SANTARROSANO</t>
  </si>
  <si>
    <t>Chorizo Jalapeño</t>
  </si>
  <si>
    <t>Costillas Ahumada</t>
  </si>
  <si>
    <t>Jamon Seleccionado</t>
  </si>
  <si>
    <t>Mortadela</t>
  </si>
  <si>
    <t>MORCILLA</t>
  </si>
  <si>
    <t>Hamburguesa Mixta Res Cerdo Pr</t>
  </si>
  <si>
    <t>Butifarra Seleccionada</t>
  </si>
  <si>
    <t>MORCILLA COCTEL BLACK PUDDING</t>
  </si>
  <si>
    <t>Salchicha Seleccionada</t>
  </si>
  <si>
    <t>Salchicha Mixta</t>
  </si>
  <si>
    <t>Salchichón Cervecero</t>
  </si>
  <si>
    <t>Salchichon Fino</t>
  </si>
  <si>
    <t>Hamburguesa Refrigerada</t>
  </si>
  <si>
    <t>DELIGOURMET</t>
  </si>
  <si>
    <t>JAMON AHUMADO</t>
  </si>
  <si>
    <t>Salchicha Manguera</t>
  </si>
  <si>
    <t>Queso Holandés Tipo Goudabloqu</t>
  </si>
  <si>
    <t>Queso Para Asar Bloque</t>
  </si>
  <si>
    <t>Queso Tipo Emmentalbloque</t>
  </si>
  <si>
    <t>Queso Tipo Cheddar Bloque</t>
  </si>
  <si>
    <t>Queso Tipo Gruyerebloque</t>
  </si>
  <si>
    <t>Queso Tipo Tilsit Bloque</t>
  </si>
  <si>
    <t>Queso Feta</t>
  </si>
  <si>
    <t>CENTURION</t>
  </si>
  <si>
    <t>Queso Suizo Tajado 150 g</t>
  </si>
  <si>
    <t>Queso Pepper Jack Tajado 150 g</t>
  </si>
  <si>
    <t>QUESO AZUL CUNA</t>
  </si>
  <si>
    <t>Queso Provolone Tajado 150 g</t>
  </si>
  <si>
    <t>Jamón York</t>
  </si>
  <si>
    <t>CATALAN</t>
  </si>
  <si>
    <t>Jamón York Con Especias</t>
  </si>
  <si>
    <t>Jamon York</t>
  </si>
  <si>
    <t>Jamón Bloque</t>
  </si>
  <si>
    <t>CASA MAYOR</t>
  </si>
  <si>
    <t>VER ANEXO</t>
  </si>
  <si>
    <t>REF. SELECCIONADAS DE FRUTOS SECOS</t>
  </si>
  <si>
    <t>INSUALIMENTOS</t>
  </si>
  <si>
    <t>270815 - 3524888 - 3524889 - 3847487</t>
  </si>
  <si>
    <t>CHICHARRON SABOR NATURAL, LIMÓN O PICANTE</t>
  </si>
  <si>
    <t>DON CHICHARRON</t>
  </si>
  <si>
    <t>3457810 - 3457812 - 3457809</t>
  </si>
  <si>
    <t>ACEITUNAS IMPORTADAS</t>
  </si>
  <si>
    <t>FICACCI</t>
  </si>
  <si>
    <t>BLOQUE 1</t>
  </si>
  <si>
    <t>Salchicha Ranchera  x 480g</t>
  </si>
  <si>
    <t>RANCHERA</t>
  </si>
  <si>
    <t>Chorizo santarrosano x 480g</t>
  </si>
  <si>
    <t>Chorizo antioqueño</t>
  </si>
  <si>
    <t>PORCHI</t>
  </si>
  <si>
    <t>Jamón de Cerdo</t>
  </si>
  <si>
    <t>EKONO</t>
  </si>
  <si>
    <t>Costilla Ahumada</t>
  </si>
  <si>
    <t xml:space="preserve">BERNA </t>
  </si>
  <si>
    <t>Tocineta Ahumada</t>
  </si>
  <si>
    <t>Jamonada Pavo Tajada</t>
  </si>
  <si>
    <t>Mortadela Jamonada</t>
  </si>
  <si>
    <t>TOCINETA AHUMADA PREMIUM</t>
  </si>
  <si>
    <t xml:space="preserve">CASA BLANCA </t>
  </si>
  <si>
    <t>Salchicha Perro Caliente Premi</t>
  </si>
  <si>
    <t>Salchichon Cervecero Pollo</t>
  </si>
  <si>
    <t>AHUMADOS TOTO</t>
  </si>
  <si>
    <t>Salchicha Country Premium</t>
  </si>
  <si>
    <t>Jamon Cerdo Sanduche</t>
  </si>
  <si>
    <t>Jamon Cerdo Premium</t>
  </si>
  <si>
    <t>Chorizo Criollo Premium</t>
  </si>
  <si>
    <t>JAMON AHUMADO 96% LIBRE DE GRA</t>
  </si>
  <si>
    <t>DAN</t>
  </si>
  <si>
    <t>Salchichon  Cervecero</t>
  </si>
  <si>
    <t>Tocineta De Cerdo</t>
  </si>
  <si>
    <t>Chorizo Antioqueño</t>
  </si>
  <si>
    <t>Chorizo Coctel De Cerdo</t>
  </si>
  <si>
    <t>Morcilla Coctel</t>
  </si>
  <si>
    <t>Butifarra De Cerdo</t>
  </si>
  <si>
    <t>MORCILLA TRADICIONAL PREC0</t>
  </si>
  <si>
    <t>ENVIGADEÑA</t>
  </si>
  <si>
    <t>Chorizo Tipo Coctel</t>
  </si>
  <si>
    <t>Practi Combo Gts Salchicha</t>
  </si>
  <si>
    <t>FRICAR</t>
  </si>
  <si>
    <t>Jamon fricar sanduche</t>
  </si>
  <si>
    <t>Tocineta fricar ahumada</t>
  </si>
  <si>
    <t>Salchichon Cervecero Premium</t>
  </si>
  <si>
    <t>Salchichon De Pollo</t>
  </si>
  <si>
    <t>KIMBY</t>
  </si>
  <si>
    <t>Salchichón De Pollo Cervecero</t>
  </si>
  <si>
    <t>Jamon Mixto Dia Dia</t>
  </si>
  <si>
    <t>LORENZANO</t>
  </si>
  <si>
    <t>Jamon Pollo</t>
  </si>
  <si>
    <t>Salchicha mixta de cerdo- pollo</t>
  </si>
  <si>
    <t>SALAMI</t>
  </si>
  <si>
    <t>Alemana</t>
  </si>
  <si>
    <t xml:space="preserve">Jamon serrano </t>
  </si>
  <si>
    <t>Jamon bloque</t>
  </si>
  <si>
    <t>Bocconcini Di Mozarella</t>
  </si>
  <si>
    <t>DELVECCHIO</t>
  </si>
  <si>
    <t>Rodaja Provolone Curada</t>
  </si>
  <si>
    <t>CHORIZO SANTAROSANO</t>
  </si>
  <si>
    <t>FRESCAS &amp; MADURADAS COLOMBIA</t>
  </si>
  <si>
    <t>TOCINETA AHUMADA</t>
  </si>
  <si>
    <t>Mix Madurados</t>
  </si>
  <si>
    <t>CASA IBAÑEZ</t>
  </si>
  <si>
    <t>SALCHICHON EXTRA CON PIMIENTA</t>
  </si>
  <si>
    <t>LA ABUELA AMELIA</t>
  </si>
  <si>
    <t>JAMON LA ABUELA</t>
  </si>
  <si>
    <t>CHORIZO VELA EXTRA PICANTE ABU</t>
  </si>
  <si>
    <t>Mozzarella Cilliegini</t>
  </si>
  <si>
    <t>DIBUFALA</t>
  </si>
  <si>
    <t>Queso Burrata</t>
  </si>
  <si>
    <t>Queso Cottage</t>
  </si>
  <si>
    <t>LACTO LIFE</t>
  </si>
  <si>
    <t>Mascarpone</t>
  </si>
  <si>
    <t>DELIZIE ITALIA</t>
  </si>
  <si>
    <t>Ricotta</t>
  </si>
  <si>
    <t>Mozarella Bocconcini</t>
  </si>
  <si>
    <t>Perline De Vaca</t>
  </si>
  <si>
    <t>Queso Brie</t>
  </si>
  <si>
    <t>PRESIDENT</t>
  </si>
  <si>
    <t>Queso Untable Ajo Hierbas</t>
  </si>
  <si>
    <t>Queso Untable Vegetales Huerto</t>
  </si>
  <si>
    <t>Queso Untable Mango Habanero</t>
  </si>
  <si>
    <t>Tripack Queso Fundido</t>
  </si>
  <si>
    <t>Queso Holandes</t>
  </si>
  <si>
    <t>ALPINA</t>
  </si>
  <si>
    <t>FONDUE ORIGINAL</t>
  </si>
  <si>
    <t>Queso Argovia</t>
  </si>
  <si>
    <t>Queso Cuajada</t>
  </si>
  <si>
    <t>DESPENSA DEL CAMPO</t>
  </si>
  <si>
    <t>Queso Campesino</t>
  </si>
  <si>
    <t>Queso Costeño</t>
  </si>
  <si>
    <t>Pernil Virginia</t>
  </si>
  <si>
    <t>Pastrami De Pavo Bloque</t>
  </si>
  <si>
    <t>QUESO BABY GOUDA CERA NATURAL</t>
  </si>
  <si>
    <t>VONK</t>
  </si>
  <si>
    <t>Gouda Plato</t>
  </si>
  <si>
    <t>QUESO MANCHEGO</t>
  </si>
  <si>
    <t>SPANISH CHEESE</t>
  </si>
  <si>
    <t>Rulo de Cabra</t>
  </si>
  <si>
    <t>Grana Padano Dop</t>
  </si>
  <si>
    <t>MONTITRENTINI</t>
  </si>
  <si>
    <t>Queso Provolone Ahumado</t>
  </si>
  <si>
    <t>Queso oveja ajo negro</t>
  </si>
  <si>
    <t>VEGASOTUELAMOS</t>
  </si>
  <si>
    <t>Jamón Serrano Reserva</t>
  </si>
  <si>
    <t>1901 AUT?NTICO POR TRADICI?N</t>
  </si>
  <si>
    <t>BLOQUE 2</t>
  </si>
  <si>
    <t>Salchicha perro x480</t>
  </si>
  <si>
    <t>Chorizo con Ternera x 440g</t>
  </si>
  <si>
    <t>Jamon de cerdo x 431g</t>
  </si>
  <si>
    <t>CHORIZO DE RES Y CERDO</t>
  </si>
  <si>
    <t>Salchicha Ibérica Cerdo</t>
  </si>
  <si>
    <t>Tocineta Ahumado</t>
  </si>
  <si>
    <t>Chorizo Tradicional</t>
  </si>
  <si>
    <t>MORCILLA TIPO COCTEL</t>
  </si>
  <si>
    <t>Chorizo ahumado</t>
  </si>
  <si>
    <t>Salchicha manguera maxi</t>
  </si>
  <si>
    <t>Salchichón Mixto</t>
  </si>
  <si>
    <t>SALCHICHA PERRO CALIENTE 12 UN</t>
  </si>
  <si>
    <t>Jamon Premium</t>
  </si>
  <si>
    <t>CASA BLANCA</t>
  </si>
  <si>
    <t>Salchicha Mega Perro Premium</t>
  </si>
  <si>
    <t>Sandwich Pack (Jamonqueso)</t>
  </si>
  <si>
    <t>Salchicha Hot Dog</t>
  </si>
  <si>
    <t>Salchichon Mixto Dia Dia</t>
  </si>
  <si>
    <t>Mortadela Mixta Dia Dia</t>
  </si>
  <si>
    <t>Chorizo español</t>
  </si>
  <si>
    <t xml:space="preserve">Jamon sanduche bloque </t>
  </si>
  <si>
    <t>JMN SERRANO todo el evento</t>
  </si>
  <si>
    <t>JAMON YORK BLOQUE</t>
  </si>
  <si>
    <t>Queso Americano Pasteurizado T</t>
  </si>
  <si>
    <t>KRAF</t>
  </si>
  <si>
    <t>Emmental Tajado</t>
  </si>
  <si>
    <t>President Emmental Blq.</t>
  </si>
  <si>
    <t>Queso Fundido Vitamina A</t>
  </si>
  <si>
    <t>Cuña Queso Emmental</t>
  </si>
  <si>
    <t>Queso Sopo Torta</t>
  </si>
  <si>
    <t>Queso Gruyere Cuña</t>
  </si>
  <si>
    <t>Queso Sabana</t>
  </si>
  <si>
    <t>Jamon De Cerdo Especial</t>
  </si>
  <si>
    <t>Roast Beef Bloque</t>
  </si>
  <si>
    <t>Queso Gouda Bloque</t>
  </si>
  <si>
    <t>Queso Baby Gouda Pesto Verde.</t>
  </si>
  <si>
    <t>Queso De Cabra Corteza Natural</t>
  </si>
  <si>
    <t>Queso Iberico Semicurado Cuña</t>
  </si>
  <si>
    <t>FONDUE CLASSIC</t>
  </si>
  <si>
    <t>Queso oveja con aceituna negra</t>
  </si>
  <si>
    <t>Jamon Cebo Iberico</t>
  </si>
  <si>
    <t>Queso Cabritas</t>
  </si>
  <si>
    <t>LA RATONERA</t>
  </si>
  <si>
    <t xml:space="preserve">PLU VENTA </t>
  </si>
  <si>
    <t>DESCRIPCIÓN VENTA</t>
  </si>
  <si>
    <t>PROVEEDOR</t>
  </si>
  <si>
    <t>APLICA</t>
  </si>
  <si>
    <t>PASTEL GLORIA BOCADILLO-AREQUIPE</t>
  </si>
  <si>
    <t>MULTIPAN</t>
  </si>
  <si>
    <t>NACIONAL</t>
  </si>
  <si>
    <t xml:space="preserve">PASTEL TIPLE </t>
  </si>
  <si>
    <t xml:space="preserve">PASTEL AREQUIPE    </t>
  </si>
  <si>
    <t>PASABOCAS</t>
  </si>
  <si>
    <t xml:space="preserve">PASTEL QUESO CUADRADO    </t>
  </si>
  <si>
    <t xml:space="preserve">PASTEL HAWAIANO    </t>
  </si>
  <si>
    <t>CROISSANT SENCILLO</t>
  </si>
  <si>
    <t>CROISSANT DE QUESO</t>
  </si>
  <si>
    <t>CORAZON</t>
  </si>
  <si>
    <t xml:space="preserve">PALITO DE QUESO    </t>
  </si>
  <si>
    <t xml:space="preserve">PASTEL POLLO MEDIANO    </t>
  </si>
  <si>
    <t xml:space="preserve">PASTEL CARNE   </t>
  </si>
  <si>
    <t xml:space="preserve">TIPLE BOCADILLO   </t>
  </si>
  <si>
    <t>INDUSTRIA BOGOTA</t>
  </si>
  <si>
    <t>BOGOTA Y MEDELLIN</t>
  </si>
  <si>
    <t>PASTEL GLORIA</t>
  </si>
  <si>
    <t xml:space="preserve">PASTEL DE POLLO     </t>
  </si>
  <si>
    <t>PASTEL DE CARNE</t>
  </si>
  <si>
    <t>PASTEL DE  AREQUIPE</t>
  </si>
  <si>
    <t>INDUSTRIA MEDELLIN</t>
  </si>
  <si>
    <t>PASTEL DE GUAYABA</t>
  </si>
  <si>
    <t>PASTEL DE QUESO</t>
  </si>
  <si>
    <t>PASTEL HAWAIANO</t>
  </si>
  <si>
    <t xml:space="preserve">PALITO DE QUESO </t>
  </si>
  <si>
    <t>PALITO DE QUESO</t>
  </si>
  <si>
    <t>CROISSANTS DE MATEQUILLA</t>
  </si>
  <si>
    <t>CROISSANTS DE QUESO</t>
  </si>
  <si>
    <t>ROLLO CON BOCADILLO</t>
  </si>
  <si>
    <t>CINNAMON  ROLL</t>
  </si>
  <si>
    <t>ROLLO CON AREQUIPE</t>
  </si>
  <si>
    <t>CROISSANT CAPRICE DE CEREALES X UNIDAD</t>
  </si>
  <si>
    <t>EUROPASTRY</t>
  </si>
  <si>
    <t>DEP SELECCIONADAS</t>
  </si>
  <si>
    <t>CROISSANT DE CHOCOLATE</t>
  </si>
  <si>
    <t>PAN DANESA DE UVA</t>
  </si>
  <si>
    <t>PAN CHOCOLATE</t>
  </si>
  <si>
    <t>PASTELITO DE CARNE</t>
  </si>
  <si>
    <t>JAIME BLANCO</t>
  </si>
  <si>
    <t>COSTA</t>
  </si>
  <si>
    <t>PASTELITO DE QUESO</t>
  </si>
  <si>
    <t>PASTELITO DE POLLO</t>
  </si>
  <si>
    <t>DEDO DE QUESO</t>
  </si>
  <si>
    <t xml:space="preserve">PLU </t>
  </si>
  <si>
    <t xml:space="preserve">DESCRIPCIÓN </t>
  </si>
  <si>
    <t>PAN DOBLE CREMA</t>
  </si>
  <si>
    <t>PAN DE PREFOU</t>
  </si>
  <si>
    <t>PAN CAMPESINO ACEITUNAS</t>
  </si>
  <si>
    <t>PAN CAMPESINO 5 CEREALES</t>
  </si>
  <si>
    <t>PAN CAMPESINO NUEZ</t>
  </si>
  <si>
    <t>PAN CAMPESINO UVA</t>
  </si>
  <si>
    <t>BAGUETON CAMPESINO</t>
  </si>
  <si>
    <t>BAGUETTE ARTESANAL</t>
  </si>
  <si>
    <t>BAGUETTE CAMPESINO</t>
  </si>
  <si>
    <t>PAN CIABATTA OREGANO</t>
  </si>
  <si>
    <t>PAN CIABATTA PARMESANO</t>
  </si>
  <si>
    <t>PAN CHIA</t>
  </si>
  <si>
    <t>PAN CHIABATTA NATURAL</t>
  </si>
  <si>
    <t>PAN BAGUETTE DE CEREALES</t>
  </si>
  <si>
    <t>BAGUETTE DE QUESO</t>
  </si>
  <si>
    <t>PETIT ARTESANAL</t>
  </si>
  <si>
    <t>PETIT CAMPESINO DE UVA</t>
  </si>
  <si>
    <t>PETIT CAMPESINO NUEZ</t>
  </si>
  <si>
    <t>PETIT CEREALES</t>
  </si>
  <si>
    <t>BAGUETON ARTESANAL</t>
  </si>
  <si>
    <t>BAGUETTINA CAMPESINO CHOCOLATE</t>
  </si>
  <si>
    <t>BAGUETTE CAMPESINO CHOCOLATE</t>
  </si>
  <si>
    <t>BAGUETTINA TOCINETA Y QUESO MOZARELLA</t>
  </si>
  <si>
    <t>BAGUETTINA JAMON Y QUESO MOZARELLA</t>
  </si>
  <si>
    <t>PETIT ARTESANAL DE QUESO</t>
  </si>
  <si>
    <t>PETIT DE CHOCOLATE</t>
  </si>
  <si>
    <t>PAN DE CHOCOLATE ARTESANAL</t>
  </si>
  <si>
    <t>PETIT CAMEPESINO ACEITUNA</t>
  </si>
  <si>
    <t>PAN DE ARANDANOS</t>
  </si>
  <si>
    <t>PETIT DE ARANDANOS</t>
  </si>
  <si>
    <t>BAGUETTE RUSTICO</t>
  </si>
  <si>
    <t>PAN PAVE</t>
  </si>
  <si>
    <t>PAN PAVE RUSTICO</t>
  </si>
  <si>
    <t>GALLETAS DE VAINILLA Y CHOCOLATE UNIDAD</t>
  </si>
  <si>
    <t>GALLETAS DE CHOCOLATE UNIDAD</t>
  </si>
  <si>
    <t>GALLETA DE MANTEQUILLA PEQUENA</t>
  </si>
  <si>
    <t>TORTA CHOCOLATOSA GRANDE</t>
  </si>
  <si>
    <t>TORTA CHOCOLATOSA PEQUENA</t>
  </si>
  <si>
    <t xml:space="preserve">TORTA CHOCOLATOSA PORCIÓN </t>
  </si>
  <si>
    <t>TORTA CHOCONUECES Y AREQUIPE GRANDE</t>
  </si>
  <si>
    <t>TORTA CHOCONUECES Y AREQUIPE PEQUENA</t>
  </si>
  <si>
    <t>TORTA CHOCONUECES Y AREQUIPE PORCION</t>
  </si>
  <si>
    <t xml:space="preserve">MARIA LUISA GRANDE </t>
  </si>
  <si>
    <t>MARIA LUISA PEQUENA</t>
  </si>
  <si>
    <t>MARÍA LUISA PORCION</t>
  </si>
  <si>
    <t>TORTA DE LIMON Y COCO GRANDE</t>
  </si>
  <si>
    <t>TORTA DE LIMON Y COCO PEQUENA</t>
  </si>
  <si>
    <t>TORTA DE LIMÓN Y COCO PORCIÓN</t>
  </si>
  <si>
    <t>TORTA DE ZANAHORIA GRANDE</t>
  </si>
  <si>
    <t>TORTA DE ZANAHORIA PEQUENA</t>
  </si>
  <si>
    <t xml:space="preserve">TORTA DE ZANAHORIA PORCION </t>
  </si>
  <si>
    <t>CHEESECAKE DE FRUTOS ROJOS GRANDE</t>
  </si>
  <si>
    <t>CHEESECAKE DE FRUTOS ROJOS PORCION</t>
  </si>
  <si>
    <t>MILHOJAS DE CREMA Y AREQUIPE</t>
  </si>
  <si>
    <t>MERENGUES DE MANÍ</t>
  </si>
  <si>
    <t>ALFAJORES</t>
  </si>
  <si>
    <t xml:space="preserve">TORTA DE BANANO GRANDE  </t>
  </si>
  <si>
    <t>TORTA DE BANANO PORCION</t>
  </si>
  <si>
    <t>TARTALETA DE FRUTAS DE TEMPORADA PEQUEÑA</t>
  </si>
  <si>
    <t>TARTA DE FRUTAS TEMPORADA  GRANDE</t>
  </si>
  <si>
    <t>TARTALETA DE LIMÓN PEQUEÑA</t>
  </si>
  <si>
    <t>TARTA DE LIMÓN    GRANDE</t>
  </si>
  <si>
    <t xml:space="preserve">TORTA COCADA GRANDE WOW </t>
  </si>
  <si>
    <t xml:space="preserve"> TORTA COCADA PORCION WOW</t>
  </si>
  <si>
    <t>BROWNIE CON GANACHE GRANDE WOW</t>
  </si>
  <si>
    <t>BROWNIE CON GANACHE PORCION WOW</t>
  </si>
  <si>
    <t>BROWNIE CON CHOCOLATE WOW</t>
  </si>
  <si>
    <t xml:space="preserve">TORTA ALMOJABANA GRANDE WOW </t>
  </si>
  <si>
    <t xml:space="preserve"> TORTA ALMOJABANA PORCION WOW</t>
  </si>
  <si>
    <t xml:space="preserve">PAVLOVA FRUTOS ROJOS  </t>
  </si>
  <si>
    <t>CHEESECAKE DE MARACUYA GRANDE</t>
  </si>
  <si>
    <t>CHEESECAKE DE MARACUYA PORCION</t>
  </si>
  <si>
    <t>TORTA DE MANZANA Y CARAMELO GRANDE</t>
  </si>
  <si>
    <t>TORTA DE MANZANA Y CARAMELO PORCION</t>
  </si>
  <si>
    <t>MERENGUITOS</t>
  </si>
  <si>
    <t>CARROT COOKIIE</t>
  </si>
  <si>
    <t>CHOCOMASMELO COOKIE</t>
  </si>
  <si>
    <t>CUADRITOS DE ARANDANOS Y AVENA</t>
  </si>
  <si>
    <t>CUADRITOS DE FRAMBUESA</t>
  </si>
  <si>
    <t>TARTALETA DE FRAMBUESA</t>
  </si>
  <si>
    <t>TARTA DE MANGO</t>
  </si>
  <si>
    <t>TARTA DE ARANDANOS</t>
  </si>
  <si>
    <t>TARTA CON FRUTAS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</si>
</sst>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_ * #,##0.00_ ;_ * \-#,##0.00_ ;_ * &quot;-&quot;??_ ;_ @_ "/>
    <numFmt numFmtId="167" formatCode="_-* #,##0\ _€_-;\-* #,##0\ _€_-;_-* &quot;-&quot;\ _€_-;_-@_-"/>
    <numFmt numFmtId="168" formatCode="&quot;$&quot;\ #,##0"/>
    <numFmt numFmtId="169" formatCode="_(&quot;$&quot;* #,##0_);_(&quot;$&quot;* \(#,##0\);_(&quot;$&quot;* &quot;-&quot;??_);_(@_)"/>
    <numFmt numFmtId="170" formatCode="&quot;$&quot;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venir Next LT Pro Regular"/>
      <family val="2"/>
    </font>
    <font>
      <sz val="11"/>
      <color rgb="FF000000"/>
      <name val="Calibri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color rgb="FF242424"/>
      <name val="Aptos Narrow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242424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scheme val="minor"/>
    </font>
    <font>
      <sz val="11"/>
      <name val="Calibri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i/>
      <sz val="11"/>
      <color rgb="FF000000"/>
      <name val="Calibri"/>
      <scheme val="minor"/>
    </font>
    <font>
      <sz val="11"/>
      <color theme="0"/>
      <name val="Calibri"/>
      <family val="2"/>
    </font>
    <font>
      <sz val="11"/>
      <color rgb="FF000000"/>
      <name val="Calibri"/>
      <charset val="1"/>
    </font>
    <font>
      <b/>
      <u/>
      <sz val="11"/>
      <color rgb="FF000000"/>
      <name val="Calibri"/>
      <scheme val="minor"/>
    </font>
    <font>
      <b/>
      <u/>
      <sz val="11"/>
      <color rgb="FF000000"/>
      <name val="Calibri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33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1">
    <xf numFmtId="0" fontId="0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" borderId="1" applyNumberFormat="0" applyFont="0" applyAlignment="0" applyProtection="0"/>
    <xf numFmtId="0" fontId="5" fillId="0" borderId="0"/>
    <xf numFmtId="0" fontId="3" fillId="0" borderId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6" fillId="0" borderId="0"/>
    <xf numFmtId="0" fontId="9" fillId="0" borderId="0"/>
    <xf numFmtId="166" fontId="9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" fillId="0" borderId="0"/>
    <xf numFmtId="0" fontId="9" fillId="0" borderId="0"/>
  </cellStyleXfs>
  <cellXfs count="75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0" fillId="4" borderId="8" xfId="0" applyFill="1" applyBorder="1" applyAlignment="1">
      <alignment horizontal="center" vertical="center"/>
    </xf>
    <xf numFmtId="0" fontId="10" fillId="0" borderId="0" xfId="0" applyFont="1"/>
    <xf numFmtId="0" fontId="4" fillId="0" borderId="2" xfId="3" applyFont="1" applyFill="1" applyBorder="1" applyAlignment="1">
      <alignment horizontal="center" vertical="center"/>
    </xf>
    <xf numFmtId="1" fontId="4" fillId="0" borderId="2" xfId="1" applyNumberFormat="1" applyFont="1" applyFill="1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 wrapText="1"/>
    </xf>
    <xf numFmtId="14" fontId="11" fillId="3" borderId="2" xfId="4" applyNumberFormat="1" applyFont="1" applyFill="1" applyBorder="1" applyAlignment="1">
      <alignment horizontal="center" vertical="center"/>
    </xf>
    <xf numFmtId="1" fontId="0" fillId="4" borderId="7" xfId="2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/>
    <xf numFmtId="0" fontId="13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9" fontId="0" fillId="0" borderId="4" xfId="2" applyFont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16" fillId="7" borderId="2" xfId="19" applyFont="1" applyFill="1" applyBorder="1" applyAlignment="1">
      <alignment horizontal="center" vertical="center" wrapText="1"/>
    </xf>
    <xf numFmtId="0" fontId="15" fillId="0" borderId="2" xfId="0" applyFont="1" applyBorder="1"/>
    <xf numFmtId="0" fontId="17" fillId="0" borderId="2" xfId="0" applyFont="1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/>
    </xf>
    <xf numFmtId="1" fontId="4" fillId="0" borderId="12" xfId="1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/>
    </xf>
    <xf numFmtId="1" fontId="0" fillId="0" borderId="7" xfId="2" applyNumberFormat="1" applyFont="1" applyFill="1" applyBorder="1" applyAlignment="1">
      <alignment horizontal="center" vertical="center"/>
    </xf>
    <xf numFmtId="0" fontId="4" fillId="8" borderId="2" xfId="3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2" fillId="0" borderId="0" xfId="0" applyFont="1"/>
    <xf numFmtId="1" fontId="0" fillId="0" borderId="0" xfId="0" applyNumberFormat="1" applyAlignment="1">
      <alignment horizontal="left"/>
    </xf>
    <xf numFmtId="14" fontId="0" fillId="0" borderId="4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9" fontId="0" fillId="4" borderId="5" xfId="2" applyFont="1" applyFill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/>
    </xf>
    <xf numFmtId="168" fontId="18" fillId="0" borderId="2" xfId="18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21" fillId="0" borderId="8" xfId="0" applyNumberFormat="1" applyFont="1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24" fillId="5" borderId="2" xfId="0" applyFont="1" applyFill="1" applyBorder="1"/>
    <xf numFmtId="0" fontId="7" fillId="0" borderId="0" xfId="0" applyFont="1"/>
    <xf numFmtId="0" fontId="7" fillId="0" borderId="2" xfId="0" applyFont="1" applyBorder="1"/>
    <xf numFmtId="0" fontId="7" fillId="0" borderId="5" xfId="0" applyFont="1" applyBorder="1"/>
    <xf numFmtId="9" fontId="12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8" fillId="4" borderId="2" xfId="0" applyFont="1" applyFill="1" applyBorder="1" applyAlignment="1">
      <alignment horizontal="left" vertical="center"/>
    </xf>
    <xf numFmtId="0" fontId="29" fillId="0" borderId="5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5" fillId="0" borderId="8" xfId="0" applyFont="1" applyBorder="1"/>
    <xf numFmtId="0" fontId="0" fillId="0" borderId="8" xfId="0" applyBorder="1" applyAlignment="1">
      <alignment horizontal="center"/>
    </xf>
    <xf numFmtId="0" fontId="13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19" xfId="0" applyNumberForma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9" fontId="14" fillId="0" borderId="3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horizontal="left"/>
    </xf>
    <xf numFmtId="1" fontId="0" fillId="0" borderId="8" xfId="0" applyNumberFormat="1" applyBorder="1" applyAlignment="1">
      <alignment horizontal="left"/>
    </xf>
    <xf numFmtId="9" fontId="0" fillId="0" borderId="8" xfId="2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17" fillId="0" borderId="21" xfId="0" applyFont="1" applyBorder="1" applyAlignment="1">
      <alignment horizontal="left" vertical="center"/>
    </xf>
    <xf numFmtId="0" fontId="14" fillId="0" borderId="21" xfId="0" applyFont="1" applyBorder="1"/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14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0" borderId="4" xfId="3" applyFont="1" applyFill="1" applyBorder="1" applyAlignment="1">
      <alignment horizontal="center" vertical="center"/>
    </xf>
    <xf numFmtId="9" fontId="4" fillId="0" borderId="4" xfId="2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24" fillId="0" borderId="8" xfId="0" applyFont="1" applyBorder="1"/>
    <xf numFmtId="14" fontId="0" fillId="0" borderId="11" xfId="0" applyNumberFormat="1" applyBorder="1" applyAlignment="1">
      <alignment horizontal="center" vertical="center"/>
    </xf>
    <xf numFmtId="0" fontId="28" fillId="0" borderId="8" xfId="0" applyFont="1" applyBorder="1" applyAlignment="1">
      <alignment vertical="center"/>
    </xf>
    <xf numFmtId="9" fontId="0" fillId="0" borderId="20" xfId="2" applyFont="1" applyBorder="1" applyAlignment="1">
      <alignment horizontal="center"/>
    </xf>
    <xf numFmtId="0" fontId="7" fillId="0" borderId="8" xfId="0" applyFont="1" applyBorder="1"/>
    <xf numFmtId="0" fontId="7" fillId="0" borderId="3" xfId="0" applyFont="1" applyBorder="1"/>
    <xf numFmtId="0" fontId="7" fillId="0" borderId="16" xfId="0" applyFont="1" applyBorder="1"/>
    <xf numFmtId="0" fontId="24" fillId="0" borderId="21" xfId="0" applyFont="1" applyBorder="1"/>
    <xf numFmtId="9" fontId="0" fillId="0" borderId="21" xfId="2" applyFont="1" applyBorder="1" applyAlignment="1">
      <alignment horizontal="center"/>
    </xf>
    <xf numFmtId="9" fontId="0" fillId="0" borderId="22" xfId="2" applyFont="1" applyBorder="1" applyAlignment="1">
      <alignment horizontal="center"/>
    </xf>
    <xf numFmtId="0" fontId="28" fillId="0" borderId="21" xfId="0" applyFont="1" applyBorder="1" applyAlignment="1">
      <alignment vertical="center"/>
    </xf>
    <xf numFmtId="0" fontId="7" fillId="0" borderId="11" xfId="0" applyFont="1" applyBorder="1"/>
    <xf numFmtId="0" fontId="7" fillId="0" borderId="6" xfId="0" applyFont="1" applyBorder="1"/>
    <xf numFmtId="0" fontId="13" fillId="0" borderId="21" xfId="0" applyFont="1" applyBorder="1" applyAlignment="1">
      <alignment horizontal="left"/>
    </xf>
    <xf numFmtId="0" fontId="0" fillId="11" borderId="2" xfId="0" applyFill="1" applyBorder="1"/>
    <xf numFmtId="14" fontId="0" fillId="11" borderId="7" xfId="0" applyNumberFormat="1" applyFill="1" applyBorder="1" applyAlignment="1">
      <alignment horizontal="center" vertical="center"/>
    </xf>
    <xf numFmtId="14" fontId="0" fillId="11" borderId="2" xfId="0" applyNumberForma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/>
    </xf>
    <xf numFmtId="0" fontId="17" fillId="11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center"/>
    </xf>
    <xf numFmtId="0" fontId="15" fillId="11" borderId="2" xfId="0" applyFont="1" applyFill="1" applyBorder="1"/>
    <xf numFmtId="0" fontId="0" fillId="11" borderId="2" xfId="0" applyFill="1" applyBorder="1" applyAlignment="1">
      <alignment horizontal="center"/>
    </xf>
    <xf numFmtId="0" fontId="0" fillId="11" borderId="2" xfId="0" applyFill="1" applyBorder="1" applyAlignment="1">
      <alignment horizontal="left"/>
    </xf>
    <xf numFmtId="9" fontId="14" fillId="11" borderId="2" xfId="0" applyNumberFormat="1" applyFont="1" applyFill="1" applyBorder="1" applyAlignment="1">
      <alignment horizontal="center" vertical="center"/>
    </xf>
    <xf numFmtId="0" fontId="0" fillId="11" borderId="8" xfId="0" applyFill="1" applyBorder="1"/>
    <xf numFmtId="0" fontId="13" fillId="11" borderId="0" xfId="0" applyFont="1" applyFill="1" applyAlignment="1">
      <alignment horizontal="left"/>
    </xf>
    <xf numFmtId="14" fontId="7" fillId="0" borderId="8" xfId="0" applyNumberFormat="1" applyFont="1" applyBorder="1" applyAlignment="1">
      <alignment horizontal="center" vertical="center"/>
    </xf>
    <xf numFmtId="0" fontId="0" fillId="11" borderId="21" xfId="0" applyFill="1" applyBorder="1"/>
    <xf numFmtId="0" fontId="13" fillId="11" borderId="8" xfId="0" applyFont="1" applyFill="1" applyBorder="1" applyAlignment="1">
      <alignment horizontal="left"/>
    </xf>
    <xf numFmtId="14" fontId="0" fillId="0" borderId="13" xfId="0" applyNumberFormat="1" applyBorder="1" applyAlignment="1">
      <alignment horizontal="center" vertical="center"/>
    </xf>
    <xf numFmtId="0" fontId="7" fillId="0" borderId="4" xfId="0" applyFont="1" applyBorder="1"/>
    <xf numFmtId="0" fontId="7" fillId="0" borderId="13" xfId="0" applyFont="1" applyBorder="1"/>
    <xf numFmtId="14" fontId="0" fillId="0" borderId="21" xfId="0" applyNumberFormat="1" applyBorder="1" applyAlignment="1">
      <alignment horizontal="center" vertical="center"/>
    </xf>
    <xf numFmtId="0" fontId="7" fillId="0" borderId="21" xfId="0" applyFont="1" applyBorder="1"/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left"/>
    </xf>
    <xf numFmtId="0" fontId="7" fillId="0" borderId="20" xfId="0" applyFont="1" applyBorder="1"/>
    <xf numFmtId="0" fontId="13" fillId="11" borderId="21" xfId="0" applyFont="1" applyFill="1" applyBorder="1" applyAlignment="1">
      <alignment horizontal="left"/>
    </xf>
    <xf numFmtId="0" fontId="29" fillId="0" borderId="8" xfId="0" applyFont="1" applyBorder="1"/>
    <xf numFmtId="0" fontId="7" fillId="0" borderId="10" xfId="0" applyFont="1" applyBorder="1"/>
    <xf numFmtId="0" fontId="29" fillId="0" borderId="21" xfId="0" applyFont="1" applyBorder="1"/>
    <xf numFmtId="0" fontId="31" fillId="0" borderId="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0" fillId="11" borderId="0" xfId="0" applyFill="1"/>
    <xf numFmtId="14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/>
    </xf>
    <xf numFmtId="1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9" fontId="0" fillId="11" borderId="0" xfId="2" applyFont="1" applyFill="1" applyBorder="1" applyAlignment="1">
      <alignment horizontal="center"/>
    </xf>
    <xf numFmtId="0" fontId="7" fillId="5" borderId="2" xfId="0" applyFont="1" applyFill="1" applyBorder="1"/>
    <xf numFmtId="0" fontId="7" fillId="5" borderId="5" xfId="0" applyFont="1" applyFill="1" applyBorder="1"/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0" fillId="11" borderId="8" xfId="0" applyNumberFormat="1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1" fontId="0" fillId="11" borderId="8" xfId="0" applyNumberFormat="1" applyFill="1" applyBorder="1" applyAlignment="1">
      <alignment horizontal="left"/>
    </xf>
    <xf numFmtId="0" fontId="0" fillId="11" borderId="8" xfId="0" applyFill="1" applyBorder="1" applyAlignment="1">
      <alignment horizontal="left"/>
    </xf>
    <xf numFmtId="9" fontId="0" fillId="11" borderId="8" xfId="2" applyFont="1" applyFill="1" applyBorder="1" applyAlignment="1">
      <alignment horizontal="center"/>
    </xf>
    <xf numFmtId="0" fontId="7" fillId="5" borderId="8" xfId="0" applyFont="1" applyFill="1" applyBorder="1"/>
    <xf numFmtId="0" fontId="7" fillId="0" borderId="8" xfId="0" applyFont="1" applyBorder="1" applyAlignment="1">
      <alignment horizontal="center"/>
    </xf>
    <xf numFmtId="0" fontId="27" fillId="11" borderId="8" xfId="0" applyFont="1" applyFill="1" applyBorder="1" applyAlignment="1">
      <alignment horizontal="left"/>
    </xf>
    <xf numFmtId="0" fontId="7" fillId="5" borderId="11" xfId="0" applyFont="1" applyFill="1" applyBorder="1"/>
    <xf numFmtId="0" fontId="7" fillId="5" borderId="6" xfId="0" applyFont="1" applyFill="1" applyBorder="1"/>
    <xf numFmtId="0" fontId="0" fillId="0" borderId="20" xfId="0" applyBorder="1" applyAlignment="1">
      <alignment horizontal="left"/>
    </xf>
    <xf numFmtId="0" fontId="0" fillId="11" borderId="21" xfId="0" applyFill="1" applyBorder="1" applyAlignment="1">
      <alignment horizontal="center"/>
    </xf>
    <xf numFmtId="0" fontId="0" fillId="11" borderId="21" xfId="0" applyFill="1" applyBorder="1" applyAlignment="1">
      <alignment horizontal="left"/>
    </xf>
    <xf numFmtId="9" fontId="0" fillId="11" borderId="21" xfId="2" applyFont="1" applyFill="1" applyBorder="1" applyAlignment="1">
      <alignment horizontal="center"/>
    </xf>
    <xf numFmtId="14" fontId="0" fillId="11" borderId="17" xfId="0" applyNumberFormat="1" applyFill="1" applyBorder="1" applyAlignment="1">
      <alignment horizontal="center" vertical="center"/>
    </xf>
    <xf numFmtId="0" fontId="24" fillId="5" borderId="8" xfId="0" applyFont="1" applyFill="1" applyBorder="1"/>
    <xf numFmtId="0" fontId="24" fillId="5" borderId="9" xfId="0" applyFont="1" applyFill="1" applyBorder="1"/>
    <xf numFmtId="0" fontId="7" fillId="0" borderId="16" xfId="0" applyFont="1" applyBorder="1" applyAlignment="1">
      <alignment horizontal="center"/>
    </xf>
    <xf numFmtId="0" fontId="24" fillId="5" borderId="20" xfId="0" applyFont="1" applyFill="1" applyBorder="1"/>
    <xf numFmtId="0" fontId="7" fillId="5" borderId="16" xfId="0" applyFont="1" applyFill="1" applyBorder="1"/>
    <xf numFmtId="0" fontId="7" fillId="5" borderId="15" xfId="0" applyFont="1" applyFill="1" applyBorder="1"/>
    <xf numFmtId="1" fontId="0" fillId="0" borderId="20" xfId="0" applyNumberFormat="1" applyBorder="1" applyAlignment="1">
      <alignment horizontal="left"/>
    </xf>
    <xf numFmtId="0" fontId="27" fillId="11" borderId="21" xfId="0" applyFont="1" applyFill="1" applyBorder="1" applyAlignment="1">
      <alignment horizontal="left"/>
    </xf>
    <xf numFmtId="9" fontId="0" fillId="0" borderId="21" xfId="2" applyFont="1" applyBorder="1" applyAlignment="1">
      <alignment horizontal="center" vertical="center"/>
    </xf>
    <xf numFmtId="9" fontId="0" fillId="0" borderId="18" xfId="2" applyFont="1" applyBorder="1" applyAlignment="1">
      <alignment horizontal="center" vertical="center"/>
    </xf>
    <xf numFmtId="0" fontId="24" fillId="5" borderId="7" xfId="0" applyFont="1" applyFill="1" applyBorder="1"/>
    <xf numFmtId="14" fontId="0" fillId="0" borderId="23" xfId="0" applyNumberForma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1" fontId="0" fillId="0" borderId="22" xfId="0" applyNumberFormat="1" applyBorder="1" applyAlignment="1">
      <alignment horizontal="left"/>
    </xf>
    <xf numFmtId="0" fontId="15" fillId="0" borderId="5" xfId="0" applyFont="1" applyBorder="1"/>
    <xf numFmtId="169" fontId="12" fillId="0" borderId="2" xfId="0" applyNumberFormat="1" applyFont="1" applyBorder="1" applyAlignment="1">
      <alignment horizontal="center" vertical="center"/>
    </xf>
    <xf numFmtId="0" fontId="13" fillId="11" borderId="2" xfId="0" applyFont="1" applyFill="1" applyBorder="1" applyAlignment="1">
      <alignment horizontal="left"/>
    </xf>
    <xf numFmtId="0" fontId="11" fillId="11" borderId="8" xfId="0" applyFont="1" applyFill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7" fillId="5" borderId="18" xfId="0" applyFont="1" applyFill="1" applyBorder="1"/>
    <xf numFmtId="0" fontId="24" fillId="5" borderId="18" xfId="0" applyFont="1" applyFill="1" applyBorder="1"/>
    <xf numFmtId="0" fontId="15" fillId="0" borderId="18" xfId="0" applyFont="1" applyBorder="1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left"/>
    </xf>
    <xf numFmtId="169" fontId="12" fillId="0" borderId="5" xfId="0" applyNumberFormat="1" applyFont="1" applyBorder="1" applyAlignment="1">
      <alignment horizontal="center" vertical="center"/>
    </xf>
    <xf numFmtId="9" fontId="14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left"/>
    </xf>
    <xf numFmtId="0" fontId="0" fillId="11" borderId="3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15" fillId="11" borderId="17" xfId="0" applyFont="1" applyFill="1" applyBorder="1"/>
    <xf numFmtId="0" fontId="24" fillId="5" borderId="21" xfId="0" applyFont="1" applyFill="1" applyBorder="1"/>
    <xf numFmtId="169" fontId="12" fillId="0" borderId="8" xfId="0" applyNumberFormat="1" applyFont="1" applyBorder="1" applyAlignment="1">
      <alignment horizontal="center" vertical="center"/>
    </xf>
    <xf numFmtId="0" fontId="0" fillId="11" borderId="4" xfId="0" applyFill="1" applyBorder="1"/>
    <xf numFmtId="14" fontId="21" fillId="11" borderId="21" xfId="0" applyNumberFormat="1" applyFont="1" applyFill="1" applyBorder="1" applyAlignment="1">
      <alignment horizontal="center" vertical="center"/>
    </xf>
    <xf numFmtId="14" fontId="0" fillId="11" borderId="21" xfId="0" applyNumberFormat="1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0" fontId="17" fillId="11" borderId="12" xfId="0" applyFont="1" applyFill="1" applyBorder="1" applyAlignment="1">
      <alignment horizontal="left" vertical="center" wrapText="1"/>
    </xf>
    <xf numFmtId="0" fontId="15" fillId="11" borderId="4" xfId="0" applyFont="1" applyFill="1" applyBorder="1"/>
    <xf numFmtId="0" fontId="13" fillId="11" borderId="4" xfId="0" applyFont="1" applyFill="1" applyBorder="1" applyAlignment="1">
      <alignment horizontal="left"/>
    </xf>
    <xf numFmtId="9" fontId="14" fillId="11" borderId="4" xfId="0" applyNumberFormat="1" applyFont="1" applyFill="1" applyBorder="1" applyAlignment="1">
      <alignment horizontal="center" vertical="center"/>
    </xf>
    <xf numFmtId="9" fontId="14" fillId="11" borderId="12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32" fillId="11" borderId="4" xfId="0" applyFont="1" applyFill="1" applyBorder="1" applyAlignment="1">
      <alignment horizontal="left" vertical="center"/>
    </xf>
    <xf numFmtId="0" fontId="32" fillId="11" borderId="8" xfId="0" applyFont="1" applyFill="1" applyBorder="1" applyAlignment="1">
      <alignment horizontal="left" vertical="center"/>
    </xf>
    <xf numFmtId="14" fontId="21" fillId="0" borderId="21" xfId="0" applyNumberFormat="1" applyFont="1" applyBorder="1" applyAlignment="1">
      <alignment horizontal="center" vertical="center"/>
    </xf>
    <xf numFmtId="169" fontId="12" fillId="0" borderId="21" xfId="0" applyNumberFormat="1" applyFont="1" applyBorder="1" applyAlignment="1">
      <alignment horizontal="center" vertical="center"/>
    </xf>
    <xf numFmtId="169" fontId="7" fillId="0" borderId="8" xfId="0" applyNumberFormat="1" applyFont="1" applyBorder="1"/>
    <xf numFmtId="1" fontId="0" fillId="11" borderId="21" xfId="0" applyNumberFormat="1" applyFill="1" applyBorder="1" applyAlignment="1">
      <alignment horizontal="left"/>
    </xf>
    <xf numFmtId="0" fontId="24" fillId="0" borderId="20" xfId="0" applyFont="1" applyBorder="1"/>
    <xf numFmtId="0" fontId="0" fillId="11" borderId="22" xfId="0" applyFill="1" applyBorder="1" applyAlignment="1">
      <alignment horizontal="left"/>
    </xf>
    <xf numFmtId="169" fontId="7" fillId="0" borderId="21" xfId="0" applyNumberFormat="1" applyFont="1" applyBorder="1"/>
    <xf numFmtId="1" fontId="0" fillId="11" borderId="23" xfId="0" applyNumberFormat="1" applyFill="1" applyBorder="1" applyAlignment="1">
      <alignment horizontal="left"/>
    </xf>
    <xf numFmtId="0" fontId="7" fillId="0" borderId="17" xfId="0" applyFont="1" applyBorder="1"/>
    <xf numFmtId="0" fontId="7" fillId="0" borderId="23" xfId="0" applyFont="1" applyBorder="1"/>
    <xf numFmtId="0" fontId="24" fillId="0" borderId="22" xfId="0" applyFont="1" applyBorder="1"/>
    <xf numFmtId="0" fontId="0" fillId="0" borderId="22" xfId="0" applyBorder="1" applyAlignment="1">
      <alignment horizontal="left"/>
    </xf>
    <xf numFmtId="9" fontId="0" fillId="0" borderId="8" xfId="2" applyFont="1" applyBorder="1" applyAlignment="1">
      <alignment horizontal="center" vertical="center"/>
    </xf>
    <xf numFmtId="169" fontId="24" fillId="5" borderId="10" xfId="0" applyNumberFormat="1" applyFont="1" applyFill="1" applyBorder="1"/>
    <xf numFmtId="169" fontId="24" fillId="5" borderId="8" xfId="0" applyNumberFormat="1" applyFont="1" applyFill="1" applyBorder="1"/>
    <xf numFmtId="0" fontId="0" fillId="12" borderId="0" xfId="0" applyFill="1"/>
    <xf numFmtId="14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/>
    </xf>
    <xf numFmtId="1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9" fontId="0" fillId="12" borderId="0" xfId="2" applyFont="1" applyFill="1" applyBorder="1" applyAlignment="1">
      <alignment horizontal="center"/>
    </xf>
    <xf numFmtId="0" fontId="13" fillId="12" borderId="0" xfId="0" applyFont="1" applyFill="1" applyAlignment="1">
      <alignment horizontal="left"/>
    </xf>
    <xf numFmtId="0" fontId="30" fillId="12" borderId="0" xfId="0" applyFont="1" applyFill="1" applyAlignment="1">
      <alignment horizontal="left"/>
    </xf>
    <xf numFmtId="0" fontId="0" fillId="0" borderId="8" xfId="0" applyBorder="1" applyAlignment="1">
      <alignment horizontal="center" vertical="center"/>
    </xf>
    <xf numFmtId="0" fontId="24" fillId="0" borderId="9" xfId="0" applyFont="1" applyBorder="1"/>
    <xf numFmtId="0" fontId="7" fillId="5" borderId="2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24" fillId="0" borderId="6" xfId="0" applyFont="1" applyBorder="1"/>
    <xf numFmtId="0" fontId="24" fillId="5" borderId="6" xfId="0" applyFont="1" applyFill="1" applyBorder="1"/>
    <xf numFmtId="0" fontId="24" fillId="5" borderId="2" xfId="0" applyFont="1" applyFill="1" applyBorder="1" applyAlignment="1">
      <alignment horizontal="center"/>
    </xf>
    <xf numFmtId="0" fontId="24" fillId="5" borderId="5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0" fillId="0" borderId="3" xfId="0" applyBorder="1" applyAlignment="1">
      <alignment horizontal="left"/>
    </xf>
    <xf numFmtId="9" fontId="14" fillId="0" borderId="7" xfId="0" applyNumberFormat="1" applyFont="1" applyBorder="1" applyAlignment="1">
      <alignment horizontal="center" vertical="center"/>
    </xf>
    <xf numFmtId="0" fontId="0" fillId="10" borderId="8" xfId="0" applyFill="1" applyBorder="1"/>
    <xf numFmtId="14" fontId="0" fillId="10" borderId="8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9" fontId="0" fillId="10" borderId="21" xfId="2" applyFont="1" applyFill="1" applyBorder="1" applyAlignment="1">
      <alignment horizontal="center"/>
    </xf>
    <xf numFmtId="168" fontId="18" fillId="0" borderId="3" xfId="18" applyNumberFormat="1" applyFont="1" applyFill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9" fontId="0" fillId="0" borderId="22" xfId="2" applyFont="1" applyBorder="1" applyAlignment="1">
      <alignment horizontal="center" vertical="center"/>
    </xf>
    <xf numFmtId="9" fontId="0" fillId="11" borderId="8" xfId="2" applyFont="1" applyFill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11" borderId="23" xfId="2" applyFont="1" applyFill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9" fontId="0" fillId="11" borderId="0" xfId="2" applyFont="1" applyFill="1" applyBorder="1" applyAlignment="1">
      <alignment horizontal="center" vertical="center"/>
    </xf>
    <xf numFmtId="9" fontId="0" fillId="12" borderId="0" xfId="2" applyFont="1" applyFill="1" applyBorder="1" applyAlignment="1">
      <alignment horizontal="center" vertical="center"/>
    </xf>
    <xf numFmtId="0" fontId="27" fillId="11" borderId="0" xfId="0" applyFont="1" applyFill="1" applyAlignment="1">
      <alignment horizontal="left"/>
    </xf>
    <xf numFmtId="0" fontId="24" fillId="5" borderId="8" xfId="0" applyFont="1" applyFill="1" applyBorder="1" applyAlignment="1">
      <alignment wrapText="1"/>
    </xf>
    <xf numFmtId="9" fontId="24" fillId="5" borderId="8" xfId="0" applyNumberFormat="1" applyFont="1" applyFill="1" applyBorder="1" applyAlignment="1">
      <alignment horizontal="center" wrapText="1"/>
    </xf>
    <xf numFmtId="0" fontId="24" fillId="14" borderId="8" xfId="0" applyFont="1" applyFill="1" applyBorder="1" applyAlignment="1">
      <alignment wrapText="1"/>
    </xf>
    <xf numFmtId="0" fontId="11" fillId="11" borderId="8" xfId="0" applyFont="1" applyFill="1" applyBorder="1" applyAlignment="1">
      <alignment horizontal="left" vertical="center"/>
    </xf>
    <xf numFmtId="9" fontId="0" fillId="11" borderId="21" xfId="2" applyFont="1" applyFill="1" applyBorder="1" applyAlignment="1">
      <alignment horizontal="center" vertical="center"/>
    </xf>
    <xf numFmtId="14" fontId="27" fillId="11" borderId="0" xfId="0" applyNumberFormat="1" applyFont="1" applyFill="1" applyAlignment="1">
      <alignment horizontal="center" vertical="center"/>
    </xf>
    <xf numFmtId="0" fontId="27" fillId="11" borderId="0" xfId="0" applyFont="1" applyFill="1" applyAlignment="1">
      <alignment horizontal="center"/>
    </xf>
    <xf numFmtId="1" fontId="27" fillId="11" borderId="0" xfId="0" applyNumberFormat="1" applyFont="1" applyFill="1" applyAlignment="1">
      <alignment horizontal="left"/>
    </xf>
    <xf numFmtId="9" fontId="27" fillId="11" borderId="0" xfId="2" applyFont="1" applyFill="1" applyBorder="1" applyAlignment="1">
      <alignment horizontal="center"/>
    </xf>
    <xf numFmtId="9" fontId="27" fillId="11" borderId="0" xfId="2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/>
    </xf>
    <xf numFmtId="169" fontId="24" fillId="5" borderId="8" xfId="0" applyNumberFormat="1" applyFont="1" applyFill="1" applyBorder="1" applyAlignment="1">
      <alignment horizontal="center" wrapText="1"/>
    </xf>
    <xf numFmtId="169" fontId="24" fillId="5" borderId="2" xfId="0" applyNumberFormat="1" applyFont="1" applyFill="1" applyBorder="1" applyAlignment="1">
      <alignment wrapText="1"/>
    </xf>
    <xf numFmtId="169" fontId="24" fillId="5" borderId="8" xfId="0" applyNumberFormat="1" applyFont="1" applyFill="1" applyBorder="1" applyAlignment="1">
      <alignment wrapText="1"/>
    </xf>
    <xf numFmtId="169" fontId="24" fillId="5" borderId="21" xfId="0" applyNumberFormat="1" applyFont="1" applyFill="1" applyBorder="1" applyAlignment="1">
      <alignment horizontal="center" wrapText="1"/>
    </xf>
    <xf numFmtId="0" fontId="24" fillId="5" borderId="21" xfId="0" applyFont="1" applyFill="1" applyBorder="1" applyAlignment="1">
      <alignment wrapText="1"/>
    </xf>
    <xf numFmtId="169" fontId="24" fillId="5" borderId="21" xfId="0" applyNumberFormat="1" applyFont="1" applyFill="1" applyBorder="1" applyAlignment="1">
      <alignment wrapText="1"/>
    </xf>
    <xf numFmtId="169" fontId="24" fillId="5" borderId="10" xfId="0" applyNumberFormat="1" applyFont="1" applyFill="1" applyBorder="1" applyAlignment="1">
      <alignment wrapText="1"/>
    </xf>
    <xf numFmtId="0" fontId="24" fillId="5" borderId="18" xfId="0" applyFont="1" applyFill="1" applyBorder="1" applyAlignment="1">
      <alignment wrapText="1"/>
    </xf>
    <xf numFmtId="9" fontId="24" fillId="5" borderId="18" xfId="0" applyNumberFormat="1" applyFont="1" applyFill="1" applyBorder="1" applyAlignment="1">
      <alignment horizontal="center" wrapText="1"/>
    </xf>
    <xf numFmtId="0" fontId="24" fillId="14" borderId="18" xfId="0" applyFont="1" applyFill="1" applyBorder="1" applyAlignment="1">
      <alignment wrapText="1"/>
    </xf>
    <xf numFmtId="0" fontId="35" fillId="5" borderId="8" xfId="0" applyFont="1" applyFill="1" applyBorder="1" applyAlignment="1">
      <alignment wrapText="1"/>
    </xf>
    <xf numFmtId="164" fontId="24" fillId="5" borderId="8" xfId="0" applyNumberFormat="1" applyFont="1" applyFill="1" applyBorder="1" applyAlignment="1">
      <alignment horizontal="center" vertical="center" wrapText="1"/>
    </xf>
    <xf numFmtId="9" fontId="24" fillId="5" borderId="8" xfId="0" applyNumberFormat="1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/>
    </xf>
    <xf numFmtId="0" fontId="34" fillId="11" borderId="8" xfId="0" applyFont="1" applyFill="1" applyBorder="1" applyAlignment="1">
      <alignment wrapText="1"/>
    </xf>
    <xf numFmtId="0" fontId="33" fillId="11" borderId="8" xfId="0" applyFont="1" applyFill="1" applyBorder="1" applyAlignment="1">
      <alignment horizontal="center" vertical="center" wrapText="1"/>
    </xf>
    <xf numFmtId="0" fontId="35" fillId="11" borderId="8" xfId="0" applyFont="1" applyFill="1" applyBorder="1" applyAlignment="1">
      <alignment wrapText="1"/>
    </xf>
    <xf numFmtId="0" fontId="24" fillId="11" borderId="8" xfId="0" applyFont="1" applyFill="1" applyBorder="1" applyAlignment="1">
      <alignment horizontal="center" vertical="center" wrapText="1"/>
    </xf>
    <xf numFmtId="0" fontId="34" fillId="11" borderId="8" xfId="0" applyFont="1" applyFill="1" applyBorder="1"/>
    <xf numFmtId="0" fontId="33" fillId="11" borderId="8" xfId="0" applyFont="1" applyFill="1" applyBorder="1" applyAlignment="1">
      <alignment horizontal="center" vertical="center"/>
    </xf>
    <xf numFmtId="1" fontId="4" fillId="0" borderId="8" xfId="1" applyNumberFormat="1" applyFont="1" applyFill="1" applyBorder="1" applyAlignment="1">
      <alignment horizontal="center" vertical="center"/>
    </xf>
    <xf numFmtId="1" fontId="4" fillId="0" borderId="7" xfId="1" applyNumberFormat="1" applyFont="1" applyFill="1" applyBorder="1" applyAlignment="1">
      <alignment horizontal="center" vertical="center"/>
    </xf>
    <xf numFmtId="0" fontId="7" fillId="0" borderId="9" xfId="0" applyFont="1" applyBorder="1"/>
    <xf numFmtId="0" fontId="24" fillId="5" borderId="0" xfId="0" applyFont="1" applyFill="1"/>
    <xf numFmtId="0" fontId="36" fillId="11" borderId="11" xfId="0" applyFont="1" applyFill="1" applyBorder="1"/>
    <xf numFmtId="0" fontId="36" fillId="11" borderId="11" xfId="0" applyFont="1" applyFill="1" applyBorder="1" applyAlignment="1">
      <alignment horizontal="center"/>
    </xf>
    <xf numFmtId="0" fontId="36" fillId="11" borderId="13" xfId="0" applyFont="1" applyFill="1" applyBorder="1" applyAlignment="1">
      <alignment horizontal="center"/>
    </xf>
    <xf numFmtId="0" fontId="36" fillId="11" borderId="13" xfId="0" applyFont="1" applyFill="1" applyBorder="1"/>
    <xf numFmtId="0" fontId="36" fillId="11" borderId="8" xfId="0" applyFont="1" applyFill="1" applyBorder="1" applyAlignment="1">
      <alignment horizontal="center"/>
    </xf>
    <xf numFmtId="0" fontId="36" fillId="11" borderId="8" xfId="0" applyFont="1" applyFill="1" applyBorder="1"/>
    <xf numFmtId="0" fontId="36" fillId="11" borderId="21" xfId="0" applyFont="1" applyFill="1" applyBorder="1"/>
    <xf numFmtId="0" fontId="36" fillId="11" borderId="6" xfId="0" applyFont="1" applyFill="1" applyBorder="1"/>
    <xf numFmtId="9" fontId="24" fillId="0" borderId="9" xfId="0" applyNumberFormat="1" applyFont="1" applyBorder="1" applyAlignment="1">
      <alignment horizontal="center"/>
    </xf>
    <xf numFmtId="0" fontId="36" fillId="11" borderId="6" xfId="0" applyFont="1" applyFill="1" applyBorder="1" applyAlignment="1">
      <alignment horizontal="center"/>
    </xf>
    <xf numFmtId="0" fontId="26" fillId="0" borderId="8" xfId="0" applyFont="1" applyBorder="1" applyAlignment="1">
      <alignment horizontal="center"/>
    </xf>
    <xf numFmtId="14" fontId="7" fillId="0" borderId="7" xfId="0" applyNumberFormat="1" applyFont="1" applyBorder="1" applyAlignment="1">
      <alignment horizontal="center" vertical="center"/>
    </xf>
    <xf numFmtId="0" fontId="20" fillId="0" borderId="8" xfId="0" applyFont="1" applyBorder="1"/>
    <xf numFmtId="0" fontId="24" fillId="5" borderId="24" xfId="0" applyFont="1" applyFill="1" applyBorder="1"/>
    <xf numFmtId="9" fontId="26" fillId="0" borderId="9" xfId="0" applyNumberFormat="1" applyFont="1" applyBorder="1" applyAlignment="1">
      <alignment horizontal="center"/>
    </xf>
    <xf numFmtId="0" fontId="36" fillId="11" borderId="0" xfId="0" applyFont="1" applyFill="1"/>
    <xf numFmtId="0" fontId="7" fillId="0" borderId="14" xfId="0" applyFont="1" applyBorder="1"/>
    <xf numFmtId="0" fontId="7" fillId="0" borderId="18" xfId="0" applyFont="1" applyBorder="1"/>
    <xf numFmtId="14" fontId="21" fillId="0" borderId="23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14" fontId="21" fillId="0" borderId="28" xfId="0" applyNumberFormat="1" applyFont="1" applyBorder="1" applyAlignment="1">
      <alignment horizontal="center" vertical="center"/>
    </xf>
    <xf numFmtId="14" fontId="0" fillId="11" borderId="23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wrapText="1"/>
    </xf>
    <xf numFmtId="0" fontId="0" fillId="11" borderId="8" xfId="0" applyFill="1" applyBorder="1" applyAlignment="1">
      <alignment vertical="center"/>
    </xf>
    <xf numFmtId="0" fontId="17" fillId="11" borderId="20" xfId="0" applyFont="1" applyFill="1" applyBorder="1" applyAlignment="1">
      <alignment horizontal="left" vertical="center"/>
    </xf>
    <xf numFmtId="0" fontId="14" fillId="0" borderId="8" xfId="0" applyFont="1" applyBorder="1" applyAlignment="1">
      <alignment horizontal="center" vertical="center" wrapText="1"/>
    </xf>
    <xf numFmtId="0" fontId="7" fillId="5" borderId="7" xfId="0" applyFont="1" applyFill="1" applyBorder="1"/>
    <xf numFmtId="0" fontId="7" fillId="5" borderId="9" xfId="0" applyFont="1" applyFill="1" applyBorder="1"/>
    <xf numFmtId="0" fontId="24" fillId="5" borderId="5" xfId="0" applyFont="1" applyFill="1" applyBorder="1"/>
    <xf numFmtId="0" fontId="29" fillId="0" borderId="9" xfId="0" applyFont="1" applyBorder="1"/>
    <xf numFmtId="0" fontId="29" fillId="0" borderId="5" xfId="0" applyFont="1" applyBorder="1"/>
    <xf numFmtId="0" fontId="38" fillId="16" borderId="2" xfId="0" applyFont="1" applyFill="1" applyBorder="1" applyAlignment="1">
      <alignment horizontal="center"/>
    </xf>
    <xf numFmtId="0" fontId="38" fillId="16" borderId="7" xfId="0" applyFont="1" applyFill="1" applyBorder="1" applyAlignment="1">
      <alignment horizontal="center"/>
    </xf>
    <xf numFmtId="0" fontId="37" fillId="16" borderId="7" xfId="0" applyFont="1" applyFill="1" applyBorder="1" applyAlignment="1">
      <alignment horizontal="center"/>
    </xf>
    <xf numFmtId="0" fontId="37" fillId="16" borderId="2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24" fillId="0" borderId="2" xfId="0" applyFont="1" applyBorder="1"/>
    <xf numFmtId="0" fontId="24" fillId="0" borderId="7" xfId="0" applyFont="1" applyBorder="1"/>
    <xf numFmtId="0" fontId="0" fillId="0" borderId="20" xfId="0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wrapText="1"/>
    </xf>
    <xf numFmtId="9" fontId="24" fillId="0" borderId="7" xfId="0" applyNumberFormat="1" applyFont="1" applyBorder="1" applyAlignment="1">
      <alignment horizontal="center" wrapText="1"/>
    </xf>
    <xf numFmtId="9" fontId="24" fillId="0" borderId="5" xfId="0" applyNumberFormat="1" applyFont="1" applyBorder="1" applyAlignment="1">
      <alignment horizontal="center" wrapText="1"/>
    </xf>
    <xf numFmtId="9" fontId="24" fillId="0" borderId="9" xfId="0" applyNumberFormat="1" applyFont="1" applyBorder="1" applyAlignment="1">
      <alignment horizontal="center" wrapText="1"/>
    </xf>
    <xf numFmtId="0" fontId="24" fillId="17" borderId="2" xfId="0" applyFont="1" applyFill="1" applyBorder="1" applyAlignment="1">
      <alignment wrapText="1"/>
    </xf>
    <xf numFmtId="0" fontId="24" fillId="17" borderId="5" xfId="0" applyFont="1" applyFill="1" applyBorder="1" applyAlignment="1">
      <alignment wrapText="1"/>
    </xf>
    <xf numFmtId="0" fontId="24" fillId="18" borderId="5" xfId="0" applyFont="1" applyFill="1" applyBorder="1" applyAlignment="1">
      <alignment wrapText="1"/>
    </xf>
    <xf numFmtId="9" fontId="24" fillId="0" borderId="8" xfId="0" applyNumberFormat="1" applyFont="1" applyBorder="1" applyAlignment="1">
      <alignment horizontal="center" wrapText="1"/>
    </xf>
    <xf numFmtId="0" fontId="24" fillId="18" borderId="8" xfId="0" applyFont="1" applyFill="1" applyBorder="1" applyAlignment="1">
      <alignment wrapText="1"/>
    </xf>
    <xf numFmtId="0" fontId="24" fillId="18" borderId="10" xfId="0" applyFont="1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0" fontId="13" fillId="3" borderId="8" xfId="0" applyFont="1" applyFill="1" applyBorder="1" applyAlignment="1">
      <alignment horizontal="left"/>
    </xf>
    <xf numFmtId="0" fontId="24" fillId="17" borderId="8" xfId="0" applyFont="1" applyFill="1" applyBorder="1" applyAlignment="1">
      <alignment wrapText="1"/>
    </xf>
    <xf numFmtId="0" fontId="0" fillId="0" borderId="21" xfId="0" applyBorder="1"/>
    <xf numFmtId="0" fontId="35" fillId="5" borderId="21" xfId="0" applyFont="1" applyFill="1" applyBorder="1" applyAlignment="1">
      <alignment wrapText="1"/>
    </xf>
    <xf numFmtId="164" fontId="24" fillId="5" borderId="21" xfId="0" applyNumberFormat="1" applyFont="1" applyFill="1" applyBorder="1" applyAlignment="1">
      <alignment horizontal="center" vertical="center" wrapText="1"/>
    </xf>
    <xf numFmtId="0" fontId="27" fillId="19" borderId="8" xfId="0" applyFont="1" applyFill="1" applyBorder="1" applyAlignment="1">
      <alignment horizontal="center"/>
    </xf>
    <xf numFmtId="0" fontId="13" fillId="19" borderId="8" xfId="0" applyFont="1" applyFill="1" applyBorder="1" applyAlignment="1">
      <alignment horizontal="left"/>
    </xf>
    <xf numFmtId="0" fontId="27" fillId="19" borderId="21" xfId="0" applyFont="1" applyFill="1" applyBorder="1" applyAlignment="1">
      <alignment horizontal="center"/>
    </xf>
    <xf numFmtId="9" fontId="24" fillId="0" borderId="21" xfId="0" applyNumberFormat="1" applyFont="1" applyBorder="1" applyAlignment="1">
      <alignment horizontal="center" wrapText="1"/>
    </xf>
    <xf numFmtId="0" fontId="24" fillId="18" borderId="21" xfId="0" applyFont="1" applyFill="1" applyBorder="1" applyAlignment="1">
      <alignment wrapText="1"/>
    </xf>
    <xf numFmtId="0" fontId="35" fillId="5" borderId="8" xfId="0" applyFont="1" applyFill="1" applyBorder="1" applyAlignment="1">
      <alignment horizontal="left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27" fillId="0" borderId="21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7" fillId="0" borderId="7" xfId="0" applyFont="1" applyBorder="1"/>
    <xf numFmtId="0" fontId="24" fillId="0" borderId="5" xfId="0" applyFont="1" applyBorder="1"/>
    <xf numFmtId="0" fontId="24" fillId="0" borderId="5" xfId="0" applyFont="1" applyBorder="1" applyAlignment="1">
      <alignment wrapText="1"/>
    </xf>
    <xf numFmtId="0" fontId="24" fillId="0" borderId="2" xfId="0" applyFont="1" applyBorder="1" applyAlignment="1">
      <alignment wrapText="1"/>
    </xf>
    <xf numFmtId="0" fontId="0" fillId="0" borderId="20" xfId="0" applyBorder="1"/>
    <xf numFmtId="0" fontId="0" fillId="0" borderId="22" xfId="0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4" fillId="17" borderId="18" xfId="0" applyFont="1" applyFill="1" applyBorder="1" applyAlignment="1">
      <alignment vertical="center" wrapText="1"/>
    </xf>
    <xf numFmtId="0" fontId="27" fillId="11" borderId="21" xfId="0" applyFont="1" applyFill="1" applyBorder="1" applyAlignment="1">
      <alignment horizontal="center"/>
    </xf>
    <xf numFmtId="0" fontId="27" fillId="11" borderId="8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4" fillId="0" borderId="10" xfId="0" applyFont="1" applyBorder="1" applyAlignment="1">
      <alignment wrapText="1"/>
    </xf>
    <xf numFmtId="0" fontId="27" fillId="0" borderId="18" xfId="0" applyFont="1" applyBorder="1" applyAlignment="1">
      <alignment horizontal="center"/>
    </xf>
    <xf numFmtId="0" fontId="7" fillId="13" borderId="5" xfId="0" applyFont="1" applyFill="1" applyBorder="1"/>
    <xf numFmtId="0" fontId="0" fillId="0" borderId="8" xfId="0" applyBorder="1" applyAlignment="1">
      <alignment horizontal="right"/>
    </xf>
    <xf numFmtId="0" fontId="27" fillId="20" borderId="8" xfId="0" applyFont="1" applyFill="1" applyBorder="1" applyAlignment="1">
      <alignment horizontal="left"/>
    </xf>
    <xf numFmtId="0" fontId="24" fillId="13" borderId="2" xfId="0" applyFont="1" applyFill="1" applyBorder="1"/>
    <xf numFmtId="0" fontId="24" fillId="13" borderId="5" xfId="0" applyFont="1" applyFill="1" applyBorder="1"/>
    <xf numFmtId="14" fontId="24" fillId="0" borderId="8" xfId="0" applyNumberFormat="1" applyFont="1" applyBorder="1" applyAlignment="1">
      <alignment horizontal="center" wrapText="1"/>
    </xf>
    <xf numFmtId="14" fontId="26" fillId="0" borderId="8" xfId="0" applyNumberFormat="1" applyFont="1" applyBorder="1" applyAlignment="1">
      <alignment horizontal="center" wrapText="1"/>
    </xf>
    <xf numFmtId="14" fontId="26" fillId="21" borderId="8" xfId="0" applyNumberFormat="1" applyFont="1" applyFill="1" applyBorder="1" applyAlignment="1">
      <alignment horizontal="center" wrapText="1"/>
    </xf>
    <xf numFmtId="0" fontId="7" fillId="13" borderId="8" xfId="0" applyFont="1" applyFill="1" applyBorder="1"/>
    <xf numFmtId="0" fontId="24" fillId="13" borderId="8" xfId="0" applyFont="1" applyFill="1" applyBorder="1"/>
    <xf numFmtId="0" fontId="0" fillId="0" borderId="22" xfId="0" applyBorder="1"/>
    <xf numFmtId="14" fontId="24" fillId="0" borderId="21" xfId="0" applyNumberFormat="1" applyFont="1" applyBorder="1" applyAlignment="1">
      <alignment horizontal="center" wrapText="1"/>
    </xf>
    <xf numFmtId="0" fontId="7" fillId="13" borderId="10" xfId="0" applyFont="1" applyFill="1" applyBorder="1"/>
    <xf numFmtId="0" fontId="26" fillId="0" borderId="5" xfId="0" applyFont="1" applyBorder="1"/>
    <xf numFmtId="0" fontId="26" fillId="0" borderId="9" xfId="0" applyFont="1" applyBorder="1"/>
    <xf numFmtId="9" fontId="26" fillId="0" borderId="8" xfId="0" applyNumberFormat="1" applyFont="1" applyBorder="1" applyAlignment="1">
      <alignment horizontal="center" wrapText="1"/>
    </xf>
    <xf numFmtId="0" fontId="26" fillId="17" borderId="5" xfId="0" applyFont="1" applyFill="1" applyBorder="1" applyAlignment="1">
      <alignment wrapText="1"/>
    </xf>
    <xf numFmtId="0" fontId="24" fillId="0" borderId="2" xfId="0" applyFont="1" applyBorder="1" applyAlignment="1">
      <alignment horizontal="center" wrapText="1"/>
    </xf>
    <xf numFmtId="0" fontId="24" fillId="0" borderId="5" xfId="0" applyFont="1" applyBorder="1" applyAlignment="1">
      <alignment horizontal="center" wrapText="1"/>
    </xf>
    <xf numFmtId="0" fontId="17" fillId="0" borderId="3" xfId="0" applyFont="1" applyBorder="1" applyAlignment="1">
      <alignment horizontal="left" vertical="center"/>
    </xf>
    <xf numFmtId="0" fontId="15" fillId="0" borderId="7" xfId="0" applyFont="1" applyBorder="1"/>
    <xf numFmtId="9" fontId="0" fillId="0" borderId="29" xfId="2" applyFont="1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9" fontId="0" fillId="0" borderId="29" xfId="2" applyFont="1" applyBorder="1" applyAlignment="1">
      <alignment horizontal="center" vertical="center"/>
    </xf>
    <xf numFmtId="0" fontId="24" fillId="0" borderId="8" xfId="0" applyFont="1" applyBorder="1" applyAlignment="1">
      <alignment wrapText="1"/>
    </xf>
    <xf numFmtId="0" fontId="0" fillId="0" borderId="18" xfId="0" applyBorder="1"/>
    <xf numFmtId="0" fontId="27" fillId="0" borderId="29" xfId="0" applyFont="1" applyBorder="1" applyAlignment="1">
      <alignment horizontal="center"/>
    </xf>
    <xf numFmtId="14" fontId="0" fillId="0" borderId="29" xfId="0" applyNumberFormat="1" applyBorder="1" applyAlignment="1">
      <alignment horizontal="center" vertical="center"/>
    </xf>
    <xf numFmtId="9" fontId="0" fillId="0" borderId="8" xfId="2" applyFont="1" applyBorder="1" applyAlignment="1">
      <alignment vertical="center" wrapText="1"/>
    </xf>
    <xf numFmtId="0" fontId="23" fillId="0" borderId="8" xfId="0" applyFont="1" applyBorder="1" applyAlignment="1">
      <alignment horizontal="center"/>
    </xf>
    <xf numFmtId="0" fontId="0" fillId="0" borderId="29" xfId="0" applyBorder="1" applyAlignment="1">
      <alignment horizontal="left" vertical="center"/>
    </xf>
    <xf numFmtId="0" fontId="7" fillId="0" borderId="21" xfId="0" applyFont="1" applyBorder="1" applyAlignment="1">
      <alignment horizontal="center"/>
    </xf>
    <xf numFmtId="0" fontId="27" fillId="11" borderId="21" xfId="0" applyFont="1" applyFill="1" applyBorder="1"/>
    <xf numFmtId="0" fontId="26" fillId="0" borderId="18" xfId="0" applyFont="1" applyBorder="1" applyAlignment="1">
      <alignment horizontal="center"/>
    </xf>
    <xf numFmtId="0" fontId="0" fillId="0" borderId="39" xfId="0" applyBorder="1"/>
    <xf numFmtId="9" fontId="26" fillId="0" borderId="14" xfId="0" applyNumberFormat="1" applyFont="1" applyBorder="1" applyAlignment="1">
      <alignment horizontal="center"/>
    </xf>
    <xf numFmtId="0" fontId="0" fillId="11" borderId="40" xfId="0" applyFill="1" applyBorder="1"/>
    <xf numFmtId="0" fontId="0" fillId="0" borderId="17" xfId="0" applyBorder="1"/>
    <xf numFmtId="14" fontId="7" fillId="0" borderId="19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0" fillId="0" borderId="37" xfId="0" applyBorder="1"/>
    <xf numFmtId="9" fontId="26" fillId="0" borderId="8" xfId="0" applyNumberFormat="1" applyFont="1" applyBorder="1" applyAlignment="1">
      <alignment horizontal="center" vertical="center"/>
    </xf>
    <xf numFmtId="170" fontId="26" fillId="0" borderId="18" xfId="0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right"/>
    </xf>
    <xf numFmtId="0" fontId="0" fillId="22" borderId="2" xfId="0" applyFill="1" applyBorder="1" applyAlignment="1">
      <alignment horizontal="center"/>
    </xf>
    <xf numFmtId="0" fontId="13" fillId="22" borderId="2" xfId="0" applyFont="1" applyFill="1" applyBorder="1" applyAlignment="1">
      <alignment horizontal="center"/>
    </xf>
    <xf numFmtId="0" fontId="26" fillId="22" borderId="2" xfId="0" applyFont="1" applyFill="1" applyBorder="1" applyAlignment="1">
      <alignment horizontal="right" vertical="center"/>
    </xf>
    <xf numFmtId="0" fontId="0" fillId="22" borderId="2" xfId="0" applyFill="1" applyBorder="1" applyAlignment="1">
      <alignment horizontal="left" vertical="center"/>
    </xf>
    <xf numFmtId="0" fontId="15" fillId="22" borderId="2" xfId="0" applyFont="1" applyFill="1" applyBorder="1"/>
    <xf numFmtId="0" fontId="0" fillId="22" borderId="2" xfId="0" applyFill="1" applyBorder="1" applyAlignment="1">
      <alignment horizontal="left"/>
    </xf>
    <xf numFmtId="9" fontId="12" fillId="22" borderId="2" xfId="0" applyNumberFormat="1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left"/>
    </xf>
    <xf numFmtId="0" fontId="24" fillId="0" borderId="8" xfId="0" applyFont="1" applyBorder="1" applyAlignment="1">
      <alignment horizontal="left"/>
    </xf>
    <xf numFmtId="0" fontId="42" fillId="0" borderId="8" xfId="0" applyFont="1" applyBorder="1" applyAlignment="1">
      <alignment horizontal="left"/>
    </xf>
    <xf numFmtId="0" fontId="42" fillId="0" borderId="8" xfId="0" applyFont="1" applyBorder="1"/>
    <xf numFmtId="0" fontId="0" fillId="0" borderId="12" xfId="0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0" fillId="0" borderId="17" xfId="0" applyBorder="1" applyAlignment="1">
      <alignment horizontal="left"/>
    </xf>
    <xf numFmtId="0" fontId="24" fillId="0" borderId="17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14" fontId="24" fillId="23" borderId="8" xfId="0" applyNumberFormat="1" applyFont="1" applyFill="1" applyBorder="1" applyAlignment="1">
      <alignment horizontal="center" wrapText="1"/>
    </xf>
    <xf numFmtId="9" fontId="29" fillId="0" borderId="8" xfId="2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4" fillId="0" borderId="18" xfId="0" applyFont="1" applyBorder="1" applyAlignment="1">
      <alignment wrapText="1"/>
    </xf>
    <xf numFmtId="9" fontId="12" fillId="0" borderId="8" xfId="0" applyNumberFormat="1" applyFont="1" applyBorder="1" applyAlignment="1">
      <alignment horizontal="center" vertical="center"/>
    </xf>
    <xf numFmtId="9" fontId="12" fillId="0" borderId="21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0" fillId="0" borderId="40" xfId="0" applyBorder="1" applyAlignment="1">
      <alignment horizontal="center"/>
    </xf>
    <xf numFmtId="14" fontId="0" fillId="0" borderId="42" xfId="0" applyNumberFormat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/>
    </xf>
    <xf numFmtId="1" fontId="0" fillId="0" borderId="44" xfId="0" applyNumberFormat="1" applyBorder="1" applyAlignment="1">
      <alignment horizontal="left"/>
    </xf>
    <xf numFmtId="0" fontId="0" fillId="0" borderId="43" xfId="0" applyBorder="1" applyAlignment="1">
      <alignment horizontal="center"/>
    </xf>
    <xf numFmtId="0" fontId="29" fillId="0" borderId="45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left"/>
    </xf>
    <xf numFmtId="9" fontId="12" fillId="0" borderId="46" xfId="0" applyNumberFormat="1" applyFont="1" applyBorder="1" applyAlignment="1">
      <alignment horizontal="center" vertical="center"/>
    </xf>
    <xf numFmtId="9" fontId="0" fillId="0" borderId="43" xfId="2" applyFont="1" applyBorder="1" applyAlignment="1">
      <alignment horizontal="center"/>
    </xf>
    <xf numFmtId="14" fontId="0" fillId="0" borderId="49" xfId="0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1" fontId="0" fillId="0" borderId="51" xfId="0" applyNumberFormat="1" applyBorder="1" applyAlignment="1">
      <alignment horizontal="left"/>
    </xf>
    <xf numFmtId="0" fontId="0" fillId="0" borderId="51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left"/>
    </xf>
    <xf numFmtId="9" fontId="12" fillId="0" borderId="52" xfId="0" applyNumberFormat="1" applyFont="1" applyBorder="1" applyAlignment="1">
      <alignment horizontal="center" vertical="center"/>
    </xf>
    <xf numFmtId="9" fontId="0" fillId="0" borderId="50" xfId="2" applyFont="1" applyBorder="1" applyAlignment="1">
      <alignment horizontal="center"/>
    </xf>
    <xf numFmtId="14" fontId="0" fillId="0" borderId="56" xfId="0" applyNumberFormat="1" applyBorder="1" applyAlignment="1">
      <alignment horizontal="center" vertical="center"/>
    </xf>
    <xf numFmtId="14" fontId="0" fillId="0" borderId="57" xfId="0" applyNumberFormat="1" applyBorder="1" applyAlignment="1">
      <alignment horizontal="center" vertical="center"/>
    </xf>
    <xf numFmtId="0" fontId="29" fillId="0" borderId="46" xfId="0" applyFont="1" applyBorder="1" applyAlignment="1">
      <alignment horizontal="center"/>
    </xf>
    <xf numFmtId="0" fontId="17" fillId="0" borderId="58" xfId="0" applyFont="1" applyBorder="1" applyAlignment="1">
      <alignment horizontal="left" vertical="center"/>
    </xf>
    <xf numFmtId="0" fontId="14" fillId="0" borderId="59" xfId="0" applyFont="1" applyBorder="1"/>
    <xf numFmtId="0" fontId="0" fillId="0" borderId="45" xfId="0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0" fillId="0" borderId="45" xfId="0" applyBorder="1" applyAlignment="1">
      <alignment horizontal="left"/>
    </xf>
    <xf numFmtId="9" fontId="12" fillId="0" borderId="45" xfId="0" applyNumberFormat="1" applyFont="1" applyBorder="1" applyAlignment="1">
      <alignment horizontal="center" vertical="center"/>
    </xf>
    <xf numFmtId="14" fontId="0" fillId="0" borderId="62" xfId="0" applyNumberFormat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17" fillId="0" borderId="63" xfId="0" applyFont="1" applyBorder="1" applyAlignment="1">
      <alignment horizontal="left" vertical="center" wrapText="1"/>
    </xf>
    <xf numFmtId="0" fontId="15" fillId="0" borderId="64" xfId="0" applyFont="1" applyBorder="1"/>
    <xf numFmtId="0" fontId="13" fillId="0" borderId="51" xfId="0" applyFont="1" applyBorder="1" applyAlignment="1">
      <alignment horizontal="left"/>
    </xf>
    <xf numFmtId="9" fontId="12" fillId="0" borderId="51" xfId="0" applyNumberFormat="1" applyFont="1" applyBorder="1" applyAlignment="1">
      <alignment horizontal="center" vertical="center"/>
    </xf>
    <xf numFmtId="0" fontId="14" fillId="0" borderId="12" xfId="0" applyFont="1" applyBorder="1"/>
    <xf numFmtId="14" fontId="0" fillId="0" borderId="14" xfId="0" applyNumberFormat="1" applyBorder="1" applyAlignment="1">
      <alignment horizontal="center" vertical="center"/>
    </xf>
    <xf numFmtId="0" fontId="17" fillId="0" borderId="16" xfId="0" applyFont="1" applyBorder="1" applyAlignment="1">
      <alignment horizontal="left" vertical="center"/>
    </xf>
    <xf numFmtId="0" fontId="15" fillId="0" borderId="9" xfId="0" applyFont="1" applyBorder="1"/>
    <xf numFmtId="9" fontId="12" fillId="0" borderId="18" xfId="0" applyNumberFormat="1" applyFont="1" applyBorder="1" applyAlignment="1">
      <alignment horizontal="center" vertical="center"/>
    </xf>
    <xf numFmtId="0" fontId="14" fillId="0" borderId="57" xfId="0" applyFont="1" applyBorder="1"/>
    <xf numFmtId="0" fontId="0" fillId="0" borderId="58" xfId="0" applyBorder="1" applyAlignment="1">
      <alignment horizontal="center"/>
    </xf>
    <xf numFmtId="0" fontId="29" fillId="0" borderId="44" xfId="0" applyFont="1" applyBorder="1" applyAlignment="1">
      <alignment horizontal="center"/>
    </xf>
    <xf numFmtId="9" fontId="12" fillId="0" borderId="44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horizontal="left" vertical="center"/>
    </xf>
    <xf numFmtId="0" fontId="14" fillId="0" borderId="62" xfId="0" applyFont="1" applyBorder="1"/>
    <xf numFmtId="0" fontId="0" fillId="0" borderId="63" xfId="0" applyBorder="1" applyAlignment="1">
      <alignment horizontal="center"/>
    </xf>
    <xf numFmtId="0" fontId="17" fillId="0" borderId="12" xfId="0" applyFont="1" applyBorder="1" applyAlignment="1">
      <alignment horizontal="left" vertical="center"/>
    </xf>
    <xf numFmtId="0" fontId="14" fillId="0" borderId="19" xfId="0" applyFont="1" applyBorder="1"/>
    <xf numFmtId="14" fontId="0" fillId="0" borderId="9" xfId="0" applyNumberForma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29" fillId="0" borderId="39" xfId="0" applyFon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0" fillId="0" borderId="21" xfId="0" applyFont="1" applyBorder="1"/>
    <xf numFmtId="0" fontId="24" fillId="0" borderId="11" xfId="0" applyFont="1" applyBorder="1" applyAlignment="1">
      <alignment wrapText="1"/>
    </xf>
    <xf numFmtId="0" fontId="24" fillId="0" borderId="6" xfId="0" applyFont="1" applyBorder="1" applyAlignment="1">
      <alignment wrapText="1"/>
    </xf>
    <xf numFmtId="9" fontId="0" fillId="0" borderId="21" xfId="0" applyNumberFormat="1" applyBorder="1" applyAlignment="1">
      <alignment horizontal="center"/>
    </xf>
    <xf numFmtId="0" fontId="24" fillId="0" borderId="11" xfId="0" applyFont="1" applyBorder="1"/>
    <xf numFmtId="0" fontId="23" fillId="11" borderId="8" xfId="0" applyFont="1" applyFill="1" applyBorder="1"/>
    <xf numFmtId="0" fontId="28" fillId="0" borderId="8" xfId="0" applyFont="1" applyBorder="1" applyAlignment="1">
      <alignment horizontal="left"/>
    </xf>
    <xf numFmtId="0" fontId="25" fillId="13" borderId="5" xfId="0" applyFont="1" applyFill="1" applyBorder="1"/>
    <xf numFmtId="0" fontId="25" fillId="13" borderId="8" xfId="0" applyFont="1" applyFill="1" applyBorder="1"/>
    <xf numFmtId="0" fontId="7" fillId="13" borderId="5" xfId="0" applyFont="1" applyFill="1" applyBorder="1" applyAlignment="1">
      <alignment horizontal="left" vertical="center"/>
    </xf>
    <xf numFmtId="0" fontId="24" fillId="13" borderId="9" xfId="0" applyFont="1" applyFill="1" applyBorder="1" applyAlignment="1">
      <alignment vertical="center"/>
    </xf>
    <xf numFmtId="0" fontId="24" fillId="13" borderId="5" xfId="0" applyFont="1" applyFill="1" applyBorder="1" applyAlignment="1">
      <alignment horizontal="center" vertical="center"/>
    </xf>
    <xf numFmtId="0" fontId="42" fillId="0" borderId="8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41" fillId="12" borderId="9" xfId="0" applyFont="1" applyFill="1" applyBorder="1" applyAlignment="1">
      <alignment horizontal="center" vertical="center" wrapText="1"/>
    </xf>
    <xf numFmtId="170" fontId="0" fillId="0" borderId="8" xfId="2" applyNumberFormat="1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9" fontId="0" fillId="11" borderId="24" xfId="2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 vertical="center"/>
    </xf>
    <xf numFmtId="14" fontId="27" fillId="11" borderId="18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left"/>
    </xf>
    <xf numFmtId="0" fontId="26" fillId="3" borderId="5" xfId="0" applyFont="1" applyFill="1" applyBorder="1"/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left"/>
    </xf>
    <xf numFmtId="9" fontId="24" fillId="0" borderId="14" xfId="0" applyNumberFormat="1" applyFont="1" applyBorder="1" applyAlignment="1">
      <alignment horizontal="center"/>
    </xf>
    <xf numFmtId="9" fontId="24" fillId="0" borderId="8" xfId="0" applyNumberFormat="1" applyFont="1" applyBorder="1" applyAlignment="1">
      <alignment horizontal="center"/>
    </xf>
    <xf numFmtId="0" fontId="24" fillId="0" borderId="22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29" fillId="3" borderId="9" xfId="0" applyFont="1" applyFill="1" applyBorder="1" applyAlignment="1">
      <alignment horizontal="left"/>
    </xf>
    <xf numFmtId="0" fontId="24" fillId="3" borderId="16" xfId="0" applyFont="1" applyFill="1" applyBorder="1" applyAlignment="1">
      <alignment horizontal="center"/>
    </xf>
    <xf numFmtId="0" fontId="24" fillId="3" borderId="8" xfId="0" applyFont="1" applyFill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1" fontId="0" fillId="11" borderId="18" xfId="0" applyNumberFormat="1" applyFill="1" applyBorder="1" applyAlignment="1">
      <alignment horizontal="left"/>
    </xf>
    <xf numFmtId="0" fontId="27" fillId="11" borderId="18" xfId="0" applyFont="1" applyFill="1" applyBorder="1" applyAlignment="1">
      <alignment horizontal="left"/>
    </xf>
    <xf numFmtId="0" fontId="45" fillId="0" borderId="8" xfId="0" applyFont="1" applyBorder="1"/>
    <xf numFmtId="0" fontId="13" fillId="11" borderId="18" xfId="0" applyFont="1" applyFill="1" applyBorder="1" applyAlignment="1">
      <alignment horizontal="left"/>
    </xf>
    <xf numFmtId="0" fontId="46" fillId="0" borderId="8" xfId="0" applyFont="1" applyBorder="1"/>
    <xf numFmtId="0" fontId="12" fillId="0" borderId="8" xfId="0" applyFont="1" applyBorder="1" applyAlignment="1">
      <alignment horizontal="left" vertical="center"/>
    </xf>
    <xf numFmtId="9" fontId="0" fillId="4" borderId="9" xfId="2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left" vertical="center" wrapText="1"/>
    </xf>
    <xf numFmtId="9" fontId="0" fillId="0" borderId="9" xfId="2" applyFont="1" applyBorder="1" applyAlignment="1">
      <alignment horizontal="center" vertical="center"/>
    </xf>
    <xf numFmtId="0" fontId="24" fillId="0" borderId="3" xfId="0" applyFont="1" applyBorder="1"/>
    <xf numFmtId="0" fontId="0" fillId="4" borderId="21" xfId="0" applyFill="1" applyBorder="1" applyAlignment="1">
      <alignment horizontal="center" vertical="center"/>
    </xf>
    <xf numFmtId="0" fontId="0" fillId="4" borderId="3" xfId="0" applyFill="1" applyBorder="1" applyAlignment="1">
      <alignment horizontal="right" vertical="center"/>
    </xf>
    <xf numFmtId="0" fontId="0" fillId="4" borderId="2" xfId="0" applyFill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26" fillId="0" borderId="2" xfId="0" applyFont="1" applyBorder="1" applyAlignment="1">
      <alignment horizontal="right" vertical="center"/>
    </xf>
    <xf numFmtId="9" fontId="0" fillId="0" borderId="8" xfId="2" applyFont="1" applyFill="1" applyBorder="1" applyAlignment="1">
      <alignment horizontal="center"/>
    </xf>
    <xf numFmtId="1" fontId="0" fillId="10" borderId="21" xfId="0" applyNumberFormat="1" applyFill="1" applyBorder="1" applyAlignment="1">
      <alignment horizontal="left"/>
    </xf>
    <xf numFmtId="0" fontId="27" fillId="10" borderId="21" xfId="0" applyFont="1" applyFill="1" applyBorder="1" applyAlignment="1">
      <alignment horizontal="left"/>
    </xf>
    <xf numFmtId="0" fontId="0" fillId="10" borderId="21" xfId="0" applyFill="1" applyBorder="1" applyAlignment="1">
      <alignment horizontal="center"/>
    </xf>
    <xf numFmtId="0" fontId="0" fillId="10" borderId="21" xfId="0" applyFill="1" applyBorder="1" applyAlignment="1">
      <alignment horizontal="left"/>
    </xf>
    <xf numFmtId="0" fontId="13" fillId="10" borderId="21" xfId="0" applyFont="1" applyFill="1" applyBorder="1" applyAlignment="1">
      <alignment horizontal="left"/>
    </xf>
    <xf numFmtId="0" fontId="2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left" vertical="center"/>
    </xf>
    <xf numFmtId="9" fontId="12" fillId="0" borderId="5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right"/>
    </xf>
    <xf numFmtId="0" fontId="12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right" vertical="center" wrapText="1"/>
    </xf>
    <xf numFmtId="0" fontId="26" fillId="0" borderId="3" xfId="0" applyFont="1" applyBorder="1" applyAlignment="1">
      <alignment horizontal="right" vertical="center" wrapText="1"/>
    </xf>
    <xf numFmtId="0" fontId="26" fillId="0" borderId="12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left" vertical="center"/>
    </xf>
    <xf numFmtId="0" fontId="15" fillId="0" borderId="4" xfId="0" applyFont="1" applyBorder="1"/>
    <xf numFmtId="9" fontId="14" fillId="0" borderId="4" xfId="0" applyNumberFormat="1" applyFont="1" applyBorder="1" applyAlignment="1">
      <alignment horizontal="center" vertical="center"/>
    </xf>
    <xf numFmtId="14" fontId="21" fillId="0" borderId="20" xfId="0" applyNumberFormat="1" applyFont="1" applyBorder="1" applyAlignment="1">
      <alignment horizontal="center" vertical="center"/>
    </xf>
    <xf numFmtId="9" fontId="24" fillId="0" borderId="4" xfId="0" applyNumberFormat="1" applyFont="1" applyBorder="1" applyAlignment="1">
      <alignment horizontal="center" wrapText="1"/>
    </xf>
    <xf numFmtId="9" fontId="24" fillId="0" borderId="19" xfId="0" applyNumberFormat="1" applyFont="1" applyBorder="1" applyAlignment="1">
      <alignment horizontal="center" wrapText="1"/>
    </xf>
    <xf numFmtId="0" fontId="24" fillId="17" borderId="21" xfId="0" applyFont="1" applyFill="1" applyBorder="1" applyAlignment="1">
      <alignment vertical="center" wrapText="1"/>
    </xf>
    <xf numFmtId="0" fontId="26" fillId="0" borderId="8" xfId="0" applyFont="1" applyBorder="1" applyAlignment="1">
      <alignment horizontal="right" vertical="center" wrapText="1"/>
    </xf>
    <xf numFmtId="9" fontId="14" fillId="0" borderId="8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9" fontId="0" fillId="0" borderId="21" xfId="2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14" fontId="1" fillId="0" borderId="18" xfId="0" applyNumberFormat="1" applyFont="1" applyBorder="1" applyAlignment="1">
      <alignment horizontal="center" vertical="center"/>
    </xf>
    <xf numFmtId="14" fontId="1" fillId="0" borderId="21" xfId="0" applyNumberFormat="1" applyFont="1" applyBorder="1" applyAlignment="1">
      <alignment horizontal="center" vertical="center"/>
    </xf>
    <xf numFmtId="0" fontId="1" fillId="0" borderId="8" xfId="0" applyFont="1" applyBorder="1"/>
    <xf numFmtId="14" fontId="1" fillId="0" borderId="32" xfId="0" applyNumberFormat="1" applyFont="1" applyBorder="1" applyAlignment="1">
      <alignment horizontal="center" vertical="center"/>
    </xf>
    <xf numFmtId="14" fontId="1" fillId="0" borderId="23" xfId="0" applyNumberFormat="1" applyFont="1" applyBorder="1" applyAlignment="1">
      <alignment horizontal="center" vertical="center"/>
    </xf>
    <xf numFmtId="14" fontId="1" fillId="21" borderId="8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right"/>
    </xf>
    <xf numFmtId="0" fontId="27" fillId="11" borderId="20" xfId="0" applyFont="1" applyFill="1" applyBorder="1" applyAlignment="1">
      <alignment horizontal="center" vertical="center"/>
    </xf>
    <xf numFmtId="0" fontId="27" fillId="11" borderId="37" xfId="0" applyFont="1" applyFill="1" applyBorder="1" applyAlignment="1">
      <alignment horizontal="center" vertical="center"/>
    </xf>
    <xf numFmtId="0" fontId="27" fillId="11" borderId="30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9" fontId="29" fillId="0" borderId="18" xfId="2" applyFont="1" applyBorder="1" applyAlignment="1">
      <alignment horizontal="center" vertical="center" wrapText="1"/>
    </xf>
    <xf numFmtId="9" fontId="0" fillId="0" borderId="18" xfId="2" applyFont="1" applyBorder="1" applyAlignment="1">
      <alignment horizontal="center" vertical="center" wrapText="1"/>
    </xf>
    <xf numFmtId="9" fontId="0" fillId="4" borderId="8" xfId="2" applyFont="1" applyFill="1" applyBorder="1" applyAlignment="1">
      <alignment horizontal="center" vertical="center"/>
    </xf>
    <xf numFmtId="9" fontId="0" fillId="4" borderId="13" xfId="2" applyFont="1" applyFill="1" applyBorder="1" applyAlignment="1">
      <alignment horizontal="center" vertical="center"/>
    </xf>
    <xf numFmtId="9" fontId="0" fillId="4" borderId="0" xfId="2" applyFont="1" applyFill="1" applyBorder="1" applyAlignment="1">
      <alignment horizontal="center" vertical="center"/>
    </xf>
    <xf numFmtId="9" fontId="0" fillId="4" borderId="24" xfId="2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9" fontId="20" fillId="0" borderId="18" xfId="2" applyFont="1" applyFill="1" applyBorder="1" applyAlignment="1">
      <alignment horizontal="center" vertical="center" wrapText="1"/>
    </xf>
    <xf numFmtId="9" fontId="39" fillId="0" borderId="8" xfId="2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left" vertical="center" wrapText="1"/>
    </xf>
    <xf numFmtId="0" fontId="28" fillId="4" borderId="10" xfId="0" applyFont="1" applyFill="1" applyBorder="1" applyAlignment="1">
      <alignment horizontal="left" vertical="center" wrapText="1"/>
    </xf>
    <xf numFmtId="0" fontId="28" fillId="4" borderId="5" xfId="0" applyFont="1" applyFill="1" applyBorder="1" applyAlignment="1">
      <alignment horizontal="left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2" fillId="0" borderId="44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29" fillId="0" borderId="8" xfId="0" applyNumberFormat="1" applyFont="1" applyBorder="1" applyAlignment="1">
      <alignment horizontal="center" vertical="center" wrapText="1"/>
    </xf>
    <xf numFmtId="9" fontId="12" fillId="0" borderId="20" xfId="0" applyNumberFormat="1" applyFont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9" fontId="12" fillId="0" borderId="21" xfId="0" applyNumberFormat="1" applyFont="1" applyBorder="1" applyAlignment="1">
      <alignment horizontal="center" vertical="center" wrapText="1"/>
    </xf>
    <xf numFmtId="9" fontId="12" fillId="0" borderId="22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9" fontId="29" fillId="0" borderId="18" xfId="0" applyNumberFormat="1" applyFont="1" applyBorder="1" applyAlignment="1">
      <alignment horizontal="center" vertical="center" wrapText="1"/>
    </xf>
    <xf numFmtId="9" fontId="12" fillId="0" borderId="18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 wrapText="1"/>
    </xf>
    <xf numFmtId="9" fontId="12" fillId="0" borderId="7" xfId="0" applyNumberFormat="1" applyFont="1" applyBorder="1" applyAlignment="1">
      <alignment horizontal="center" vertical="center" wrapText="1"/>
    </xf>
    <xf numFmtId="14" fontId="0" fillId="22" borderId="3" xfId="0" applyNumberFormat="1" applyFill="1" applyBorder="1" applyAlignment="1">
      <alignment horizontal="center" vertical="center"/>
    </xf>
    <xf numFmtId="14" fontId="0" fillId="22" borderId="7" xfId="0" applyNumberForma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/>
    </xf>
    <xf numFmtId="0" fontId="27" fillId="3" borderId="11" xfId="0" applyFont="1" applyFill="1" applyBorder="1" applyAlignment="1">
      <alignment horizontal="center"/>
    </xf>
    <xf numFmtId="0" fontId="27" fillId="3" borderId="13" xfId="0" applyFont="1" applyFill="1" applyBorder="1" applyAlignment="1">
      <alignment horizontal="center"/>
    </xf>
    <xf numFmtId="0" fontId="27" fillId="3" borderId="19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29" xfId="0" applyFont="1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27" fillId="3" borderId="15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/>
    </xf>
    <xf numFmtId="0" fontId="27" fillId="3" borderId="9" xfId="0" applyFont="1" applyFill="1" applyBorder="1" applyAlignment="1">
      <alignment horizontal="center"/>
    </xf>
    <xf numFmtId="0" fontId="23" fillId="11" borderId="13" xfId="0" applyFont="1" applyFill="1" applyBorder="1" applyAlignment="1">
      <alignment horizontal="center"/>
    </xf>
    <xf numFmtId="0" fontId="27" fillId="0" borderId="8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1" fillId="11" borderId="21" xfId="0" applyFont="1" applyFill="1" applyBorder="1" applyAlignment="1">
      <alignment horizontal="center"/>
    </xf>
    <xf numFmtId="0" fontId="23" fillId="11" borderId="21" xfId="0" applyFont="1" applyFill="1" applyBorder="1" applyAlignment="1">
      <alignment horizontal="center"/>
    </xf>
    <xf numFmtId="0" fontId="23" fillId="11" borderId="29" xfId="0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0" fontId="23" fillId="0" borderId="21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28" fillId="0" borderId="21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9" fontId="0" fillId="0" borderId="21" xfId="2" applyFont="1" applyBorder="1" applyAlignment="1">
      <alignment horizontal="center" vertical="center" wrapText="1"/>
    </xf>
    <xf numFmtId="9" fontId="0" fillId="0" borderId="29" xfId="2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9" fontId="0" fillId="0" borderId="21" xfId="2" applyFont="1" applyBorder="1" applyAlignment="1">
      <alignment horizontal="center" vertical="center"/>
    </xf>
    <xf numFmtId="9" fontId="0" fillId="0" borderId="29" xfId="2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9" fontId="26" fillId="0" borderId="8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70" fontId="26" fillId="0" borderId="8" xfId="0" applyNumberFormat="1" applyFont="1" applyBorder="1" applyAlignment="1">
      <alignment horizontal="center" vertical="center" wrapText="1"/>
    </xf>
    <xf numFmtId="9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24" fillId="0" borderId="8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/>
    </xf>
    <xf numFmtId="0" fontId="33" fillId="11" borderId="8" xfId="0" applyFont="1" applyFill="1" applyBorder="1" applyAlignment="1">
      <alignment wrapText="1"/>
    </xf>
    <xf numFmtId="9" fontId="0" fillId="0" borderId="31" xfId="2" applyFont="1" applyBorder="1" applyAlignment="1">
      <alignment horizontal="center" vertical="center"/>
    </xf>
    <xf numFmtId="0" fontId="27" fillId="15" borderId="20" xfId="0" applyFont="1" applyFill="1" applyBorder="1" applyAlignment="1">
      <alignment horizontal="center" vertical="center" wrapText="1"/>
    </xf>
    <xf numFmtId="0" fontId="27" fillId="15" borderId="22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9" fontId="24" fillId="5" borderId="8" xfId="0" applyNumberFormat="1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9" fontId="12" fillId="0" borderId="4" xfId="0" applyNumberFormat="1" applyFont="1" applyBorder="1" applyAlignment="1">
      <alignment horizontal="center" vertical="center" wrapText="1"/>
    </xf>
    <xf numFmtId="9" fontId="12" fillId="0" borderId="10" xfId="0" applyNumberFormat="1" applyFont="1" applyBorder="1" applyAlignment="1">
      <alignment horizontal="center" vertical="center" wrapText="1"/>
    </xf>
    <xf numFmtId="9" fontId="12" fillId="0" borderId="5" xfId="0" applyNumberFormat="1" applyFont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9" fontId="0" fillId="0" borderId="8" xfId="2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</cellXfs>
  <cellStyles count="21">
    <cellStyle name="Millares [0]" xfId="1" builtinId="6"/>
    <cellStyle name="Millares [0] 2" xfId="7" xr:uid="{00000000-0005-0000-0000-000002000000}"/>
    <cellStyle name="Millares 2" xfId="6" xr:uid="{00000000-0005-0000-0000-000003000000}"/>
    <cellStyle name="Millares 2 2" xfId="10" xr:uid="{00000000-0005-0000-0000-000004000000}"/>
    <cellStyle name="Millares 3" xfId="12" xr:uid="{00000000-0005-0000-0000-000005000000}"/>
    <cellStyle name="Millares 4" xfId="14" xr:uid="{00000000-0005-0000-0000-000006000000}"/>
    <cellStyle name="Moneda" xfId="18" builtinId="4"/>
    <cellStyle name="Normal" xfId="0" builtinId="0"/>
    <cellStyle name="Normal 10" xfId="19" xr:uid="{00000000-0005-0000-0000-000009000000}"/>
    <cellStyle name="Normal 2" xfId="9" xr:uid="{00000000-0005-0000-0000-00000A000000}"/>
    <cellStyle name="Normal 2 21" xfId="20" xr:uid="{00000000-0005-0000-0000-00000B000000}"/>
    <cellStyle name="Normal 20" xfId="5" xr:uid="{00000000-0005-0000-0000-00000C000000}"/>
    <cellStyle name="Normal 3" xfId="4" xr:uid="{00000000-0005-0000-0000-00000D000000}"/>
    <cellStyle name="Normal 3 2" xfId="11" xr:uid="{00000000-0005-0000-0000-00000E000000}"/>
    <cellStyle name="Normal 4" xfId="8" xr:uid="{00000000-0005-0000-0000-00000F000000}"/>
    <cellStyle name="Normal 4 2" xfId="13" xr:uid="{00000000-0005-0000-0000-000010000000}"/>
    <cellStyle name="Normal 5" xfId="16" xr:uid="{00000000-0005-0000-0000-000011000000}"/>
    <cellStyle name="Notas" xfId="3" builtinId="10"/>
    <cellStyle name="Percent 2 2" xfId="17" xr:uid="{00000000-0005-0000-0000-000015000000}"/>
    <cellStyle name="Porcentaje" xfId="2" builtinId="5"/>
    <cellStyle name="Porcentaje 2" xfId="15" xr:uid="{00000000-0005-0000-0000-000017000000}"/>
  </cellStyles>
  <dxfs count="0"/>
  <tableStyles count="0" defaultTableStyle="TableStyleMedium2" defaultPivotStyle="PivotStyleLight16"/>
  <colors>
    <mruColors>
      <color rgb="FF99FF99"/>
      <color rgb="FFFF3399"/>
      <color rgb="FFFF66CC"/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zoomScale="80" zoomScaleNormal="80" workbookViewId="0">
      <pane ySplit="2" topLeftCell="A18" activePane="bottomLeft" state="frozen"/>
      <selection activeCell="D223" sqref="D223"/>
      <selection pane="bottomLeft" activeCell="I28" sqref="I28:I29"/>
    </sheetView>
  </sheetViews>
  <sheetFormatPr baseColWidth="10" defaultColWidth="10.85546875" defaultRowHeight="23.1" customHeight="1"/>
  <cols>
    <col min="1" max="1" width="13.140625" style="3" bestFit="1" customWidth="1"/>
    <col min="2" max="2" width="12.28515625" style="3" customWidth="1"/>
    <col min="3" max="3" width="9.85546875" style="3" bestFit="1" customWidth="1"/>
    <col min="4" max="4" width="13.85546875" style="3" bestFit="1" customWidth="1"/>
    <col min="5" max="5" width="20.28515625" style="3" customWidth="1"/>
    <col min="6" max="6" width="9.42578125" style="3" bestFit="1" customWidth="1"/>
    <col min="7" max="8" width="12.140625" style="3" bestFit="1" customWidth="1"/>
    <col min="9" max="9" width="13.7109375" style="3" customWidth="1"/>
    <col min="10" max="10" width="28.5703125" style="3" customWidth="1"/>
    <col min="11" max="11" width="8.7109375" style="3" bestFit="1" customWidth="1"/>
    <col min="12" max="12" width="17.85546875" style="3" bestFit="1" customWidth="1"/>
    <col min="13" max="13" width="22.28515625" style="6" customWidth="1"/>
    <col min="14" max="14" width="16.140625" style="6" customWidth="1"/>
    <col min="15" max="15" width="42.42578125" style="6" customWidth="1"/>
    <col min="16" max="16" width="10.140625" style="6" bestFit="1" customWidth="1"/>
    <col min="17" max="17" width="36.140625" style="3" bestFit="1" customWidth="1"/>
    <col min="18" max="18" width="10.5703125" style="3" bestFit="1" customWidth="1"/>
    <col min="19" max="19" width="5" style="3" bestFit="1" customWidth="1"/>
    <col min="20" max="20" width="28.85546875" style="3" customWidth="1"/>
    <col min="21" max="16384" width="10.85546875" style="3"/>
  </cols>
  <sheetData>
    <row r="1" spans="1:20" ht="18.75">
      <c r="A1" s="611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</row>
    <row r="2" spans="1:20" ht="47.25">
      <c r="A2" s="18" t="s">
        <v>1</v>
      </c>
      <c r="B2" s="18" t="s">
        <v>2</v>
      </c>
      <c r="C2" s="14" t="s">
        <v>3</v>
      </c>
      <c r="D2" s="15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02" t="s">
        <v>12</v>
      </c>
      <c r="M2" s="103" t="s">
        <v>13</v>
      </c>
      <c r="N2" s="16" t="s">
        <v>14</v>
      </c>
      <c r="O2" s="103" t="s">
        <v>15</v>
      </c>
      <c r="P2" s="14" t="s">
        <v>16</v>
      </c>
      <c r="Q2" s="14" t="s">
        <v>17</v>
      </c>
      <c r="R2" s="17" t="s">
        <v>18</v>
      </c>
      <c r="S2" s="35" t="s">
        <v>19</v>
      </c>
    </row>
    <row r="3" spans="1:20" s="5" customFormat="1" ht="15">
      <c r="A3" s="42">
        <v>46199</v>
      </c>
      <c r="B3" s="42">
        <v>46199</v>
      </c>
      <c r="C3" s="43">
        <v>86</v>
      </c>
      <c r="D3" s="4">
        <v>8610</v>
      </c>
      <c r="E3" s="4" t="s">
        <v>20</v>
      </c>
      <c r="F3" s="4"/>
      <c r="G3" s="4"/>
      <c r="H3" s="4"/>
      <c r="I3" s="4"/>
      <c r="J3" s="1"/>
      <c r="K3" s="38"/>
      <c r="L3" s="12"/>
      <c r="M3" s="617">
        <v>0.25</v>
      </c>
      <c r="N3" s="618">
        <v>0.35</v>
      </c>
      <c r="O3" s="621" t="s">
        <v>21</v>
      </c>
      <c r="P3" s="13"/>
      <c r="Q3" s="4"/>
      <c r="R3" s="612" t="s">
        <v>22</v>
      </c>
      <c r="S3" s="39"/>
    </row>
    <row r="4" spans="1:20" s="5" customFormat="1" ht="15">
      <c r="A4" s="42">
        <v>46199</v>
      </c>
      <c r="B4" s="42">
        <v>46199</v>
      </c>
      <c r="C4" s="43">
        <v>86</v>
      </c>
      <c r="D4" s="4">
        <v>8612</v>
      </c>
      <c r="E4" s="4" t="s">
        <v>23</v>
      </c>
      <c r="F4" s="4"/>
      <c r="G4" s="4"/>
      <c r="H4" s="4"/>
      <c r="I4" s="4"/>
      <c r="J4" s="1"/>
      <c r="K4" s="38"/>
      <c r="L4" s="12"/>
      <c r="M4" s="617"/>
      <c r="N4" s="619"/>
      <c r="O4" s="621"/>
      <c r="P4" s="19"/>
      <c r="Q4" s="4"/>
      <c r="R4" s="613"/>
      <c r="S4" s="39"/>
    </row>
    <row r="5" spans="1:20" s="5" customFormat="1" ht="15">
      <c r="A5" s="42">
        <v>46199</v>
      </c>
      <c r="B5" s="42">
        <v>46199</v>
      </c>
      <c r="C5" s="43">
        <v>86</v>
      </c>
      <c r="D5" s="4">
        <v>8614</v>
      </c>
      <c r="E5" s="4" t="s">
        <v>24</v>
      </c>
      <c r="F5" s="4"/>
      <c r="G5" s="4"/>
      <c r="H5" s="4"/>
      <c r="I5" s="4"/>
      <c r="J5" s="101"/>
      <c r="K5" s="38"/>
      <c r="L5" s="12"/>
      <c r="M5" s="617"/>
      <c r="N5" s="619"/>
      <c r="O5" s="621"/>
      <c r="P5" s="19"/>
      <c r="Q5" s="4"/>
      <c r="R5" s="613"/>
      <c r="S5" s="39"/>
    </row>
    <row r="6" spans="1:20" s="5" customFormat="1" ht="15">
      <c r="A6" s="42">
        <v>46199</v>
      </c>
      <c r="B6" s="42">
        <v>46199</v>
      </c>
      <c r="C6" s="43">
        <v>86</v>
      </c>
      <c r="D6" s="4">
        <v>8624</v>
      </c>
      <c r="E6" s="4" t="s">
        <v>25</v>
      </c>
      <c r="F6" s="4"/>
      <c r="G6" s="4"/>
      <c r="H6" s="4"/>
      <c r="I6" s="4"/>
      <c r="J6" s="101"/>
      <c r="K6" s="38"/>
      <c r="L6" s="12"/>
      <c r="M6" s="617"/>
      <c r="N6" s="620"/>
      <c r="O6" s="621"/>
      <c r="P6" s="19"/>
      <c r="Q6" s="4"/>
      <c r="R6" s="614"/>
      <c r="S6" s="39"/>
    </row>
    <row r="7" spans="1:20" s="5" customFormat="1" ht="15">
      <c r="A7" s="52">
        <v>46199</v>
      </c>
      <c r="B7" s="52">
        <v>46199</v>
      </c>
      <c r="C7" s="32">
        <v>89</v>
      </c>
      <c r="D7" s="4"/>
      <c r="E7" s="4"/>
      <c r="F7" s="4"/>
      <c r="G7" s="4"/>
      <c r="H7" s="4"/>
      <c r="I7" s="47">
        <v>480</v>
      </c>
      <c r="J7" s="48" t="s">
        <v>26</v>
      </c>
      <c r="K7" s="4"/>
      <c r="L7" s="104"/>
      <c r="M7" s="624" t="s">
        <v>27</v>
      </c>
      <c r="N7" s="625"/>
      <c r="O7" s="622" t="s">
        <v>28</v>
      </c>
      <c r="P7" s="19"/>
      <c r="Q7" s="4"/>
      <c r="R7" s="608"/>
      <c r="S7" s="12"/>
    </row>
    <row r="8" spans="1:20" s="5" customFormat="1" ht="15">
      <c r="A8" s="52">
        <v>46199</v>
      </c>
      <c r="B8" s="52">
        <v>46199</v>
      </c>
      <c r="C8" s="32">
        <v>89</v>
      </c>
      <c r="D8" s="1"/>
      <c r="E8" s="1"/>
      <c r="F8" s="1"/>
      <c r="G8" s="1"/>
      <c r="H8" s="1"/>
      <c r="I8" s="49">
        <v>9829</v>
      </c>
      <c r="J8" s="450" t="s">
        <v>29</v>
      </c>
      <c r="K8" s="1"/>
      <c r="L8" s="68"/>
      <c r="M8" s="625"/>
      <c r="N8" s="625"/>
      <c r="O8" s="623"/>
      <c r="P8" s="34"/>
      <c r="Q8" s="1"/>
      <c r="R8" s="609"/>
      <c r="S8" s="1"/>
    </row>
    <row r="9" spans="1:20" s="5" customFormat="1" ht="15">
      <c r="A9" s="52">
        <v>46199</v>
      </c>
      <c r="B9" s="52">
        <v>46199</v>
      </c>
      <c r="C9" s="32">
        <v>89</v>
      </c>
      <c r="D9" s="4"/>
      <c r="E9" s="4"/>
      <c r="F9" s="4"/>
      <c r="G9" s="4"/>
      <c r="H9" s="4"/>
      <c r="I9" s="50">
        <v>13460</v>
      </c>
      <c r="J9" s="451" t="s">
        <v>30</v>
      </c>
      <c r="K9" s="4"/>
      <c r="L9" s="38"/>
      <c r="M9" s="625"/>
      <c r="N9" s="625"/>
      <c r="O9" s="623"/>
      <c r="P9" s="19"/>
      <c r="Q9" s="4"/>
      <c r="R9" s="609"/>
      <c r="S9" s="4"/>
    </row>
    <row r="10" spans="1:20" ht="15">
      <c r="A10" s="52">
        <v>46199</v>
      </c>
      <c r="B10" s="52">
        <v>46199</v>
      </c>
      <c r="C10" s="32">
        <v>89</v>
      </c>
      <c r="D10" s="1"/>
      <c r="E10" s="1"/>
      <c r="F10" s="1"/>
      <c r="G10" s="1"/>
      <c r="H10" s="1"/>
      <c r="I10" s="51">
        <v>20006</v>
      </c>
      <c r="J10" s="48" t="s">
        <v>31</v>
      </c>
      <c r="K10" s="1"/>
      <c r="L10" s="68"/>
      <c r="M10" s="625"/>
      <c r="N10" s="625"/>
      <c r="O10" s="623"/>
      <c r="P10" s="53"/>
      <c r="Q10" s="1"/>
      <c r="R10" s="609"/>
      <c r="S10" s="1"/>
    </row>
    <row r="11" spans="1:20" ht="15">
      <c r="A11" s="52">
        <v>46199</v>
      </c>
      <c r="B11" s="52">
        <v>46199</v>
      </c>
      <c r="C11" s="32">
        <v>89</v>
      </c>
      <c r="D11" s="1"/>
      <c r="E11" s="1"/>
      <c r="F11" s="1"/>
      <c r="G11" s="1"/>
      <c r="H11" s="1"/>
      <c r="I11" s="49">
        <v>20307</v>
      </c>
      <c r="J11" s="450" t="s">
        <v>32</v>
      </c>
      <c r="K11" s="1"/>
      <c r="L11" s="68"/>
      <c r="M11" s="625"/>
      <c r="N11" s="625"/>
      <c r="O11" s="623"/>
      <c r="P11" s="53"/>
      <c r="Q11" s="1"/>
      <c r="R11" s="609"/>
      <c r="S11" s="1"/>
    </row>
    <row r="12" spans="1:20" s="5" customFormat="1" ht="15">
      <c r="A12" s="52">
        <v>46199</v>
      </c>
      <c r="B12" s="52">
        <v>46199</v>
      </c>
      <c r="C12" s="32">
        <v>89</v>
      </c>
      <c r="D12" s="1"/>
      <c r="E12" s="1"/>
      <c r="F12" s="1"/>
      <c r="G12" s="1"/>
      <c r="H12" s="1"/>
      <c r="I12" s="49">
        <v>22405</v>
      </c>
      <c r="J12" s="450" t="s">
        <v>33</v>
      </c>
      <c r="K12" s="4"/>
      <c r="L12" s="38"/>
      <c r="M12" s="625"/>
      <c r="N12" s="625"/>
      <c r="O12" s="623"/>
      <c r="P12" s="19"/>
      <c r="Q12" s="4"/>
      <c r="R12" s="609"/>
      <c r="S12" s="4"/>
      <c r="T12" s="3"/>
    </row>
    <row r="13" spans="1:20" s="5" customFormat="1" ht="15">
      <c r="A13" s="52">
        <v>46199</v>
      </c>
      <c r="B13" s="52">
        <v>46199</v>
      </c>
      <c r="C13" s="32">
        <v>89</v>
      </c>
      <c r="D13" s="1"/>
      <c r="E13" s="1"/>
      <c r="F13" s="1"/>
      <c r="G13" s="1"/>
      <c r="H13" s="1"/>
      <c r="I13" s="49">
        <v>41665</v>
      </c>
      <c r="J13" s="450" t="s">
        <v>34</v>
      </c>
      <c r="K13" s="4"/>
      <c r="L13" s="38"/>
      <c r="M13" s="625"/>
      <c r="N13" s="625"/>
      <c r="O13" s="623"/>
      <c r="P13" s="19"/>
      <c r="Q13" s="4"/>
      <c r="R13" s="609"/>
      <c r="S13" s="4"/>
      <c r="T13" s="3"/>
    </row>
    <row r="14" spans="1:20" s="5" customFormat="1" ht="15">
      <c r="A14" s="52">
        <v>46199</v>
      </c>
      <c r="B14" s="52">
        <v>46199</v>
      </c>
      <c r="C14" s="32">
        <v>89</v>
      </c>
      <c r="D14" s="1"/>
      <c r="E14" s="1"/>
      <c r="F14" s="1"/>
      <c r="G14" s="1"/>
      <c r="H14" s="1"/>
      <c r="I14" s="49">
        <v>51828</v>
      </c>
      <c r="J14" s="450" t="s">
        <v>35</v>
      </c>
      <c r="K14" s="4"/>
      <c r="L14" s="38"/>
      <c r="M14" s="625"/>
      <c r="N14" s="625"/>
      <c r="O14" s="623"/>
      <c r="P14" s="19"/>
      <c r="Q14" s="4"/>
      <c r="R14" s="610"/>
      <c r="S14" s="4"/>
      <c r="T14" s="3"/>
    </row>
    <row r="15" spans="1:20" s="5" customFormat="1" ht="30.75" customHeight="1">
      <c r="A15" s="52">
        <v>46199</v>
      </c>
      <c r="B15" s="52">
        <v>46199</v>
      </c>
      <c r="C15" s="1" t="s">
        <v>36</v>
      </c>
      <c r="D15" s="1"/>
      <c r="E15" s="1"/>
      <c r="F15" s="1"/>
      <c r="G15" s="1"/>
      <c r="H15" s="1"/>
      <c r="I15" s="1"/>
      <c r="J15" s="1"/>
      <c r="K15" s="4"/>
      <c r="L15" s="548"/>
      <c r="M15" s="615" t="s">
        <v>27</v>
      </c>
      <c r="N15" s="616"/>
      <c r="O15" s="449" t="s">
        <v>37</v>
      </c>
      <c r="P15" s="413"/>
      <c r="Q15" s="69" t="s">
        <v>38</v>
      </c>
      <c r="R15" s="4"/>
      <c r="S15" s="4"/>
      <c r="T15" s="3"/>
    </row>
    <row r="16" spans="1:20" s="5" customFormat="1" ht="15.75" customHeight="1">
      <c r="A16" s="52">
        <v>46200</v>
      </c>
      <c r="B16" s="52">
        <v>46201</v>
      </c>
      <c r="C16" s="1">
        <v>82</v>
      </c>
      <c r="D16" s="1"/>
      <c r="E16" s="1" t="s">
        <v>39</v>
      </c>
      <c r="F16" s="1"/>
      <c r="G16" s="1"/>
      <c r="H16" s="1"/>
      <c r="I16" s="1" t="s">
        <v>40</v>
      </c>
      <c r="J16" s="1" t="s">
        <v>41</v>
      </c>
      <c r="K16" s="38"/>
      <c r="L16" s="12"/>
      <c r="M16" s="558">
        <v>0.4</v>
      </c>
      <c r="N16" s="44">
        <v>0.5</v>
      </c>
      <c r="O16" s="562" t="s">
        <v>42</v>
      </c>
      <c r="P16" s="19"/>
      <c r="Q16" s="626" t="s">
        <v>43</v>
      </c>
      <c r="R16" s="4"/>
      <c r="S16" s="4"/>
      <c r="T16" s="3"/>
    </row>
    <row r="17" spans="1:20" s="5" customFormat="1" ht="15.75" customHeight="1">
      <c r="A17" s="52">
        <v>46200</v>
      </c>
      <c r="B17" s="52">
        <v>46201</v>
      </c>
      <c r="C17" s="1">
        <v>82</v>
      </c>
      <c r="D17" s="1"/>
      <c r="E17" s="1" t="s">
        <v>39</v>
      </c>
      <c r="F17" s="1"/>
      <c r="G17" s="1"/>
      <c r="H17" s="1"/>
      <c r="I17" s="1" t="s">
        <v>44</v>
      </c>
      <c r="J17" s="1" t="s">
        <v>45</v>
      </c>
      <c r="K17" s="38"/>
      <c r="L17" s="12"/>
      <c r="M17" s="558">
        <v>0.4</v>
      </c>
      <c r="N17" s="44">
        <v>0.5</v>
      </c>
      <c r="O17" s="562" t="s">
        <v>42</v>
      </c>
      <c r="P17" s="19"/>
      <c r="Q17" s="627"/>
      <c r="R17" s="4"/>
      <c r="S17" s="4"/>
      <c r="T17" s="3"/>
    </row>
    <row r="18" spans="1:20" s="5" customFormat="1" ht="15.75" customHeight="1">
      <c r="A18" s="52">
        <v>46200</v>
      </c>
      <c r="B18" s="52">
        <v>46201</v>
      </c>
      <c r="C18" s="1">
        <v>82</v>
      </c>
      <c r="D18" s="1"/>
      <c r="E18" s="1" t="s">
        <v>39</v>
      </c>
      <c r="F18" s="1"/>
      <c r="G18" s="1"/>
      <c r="H18" s="1"/>
      <c r="I18" s="1" t="s">
        <v>46</v>
      </c>
      <c r="J18" s="1" t="s">
        <v>47</v>
      </c>
      <c r="K18" s="38"/>
      <c r="L18" s="12"/>
      <c r="M18" s="558">
        <v>0.4</v>
      </c>
      <c r="N18" s="44">
        <v>0.5</v>
      </c>
      <c r="O18" s="562" t="s">
        <v>42</v>
      </c>
      <c r="P18" s="19"/>
      <c r="Q18" s="627"/>
      <c r="R18" s="4"/>
      <c r="S18" s="4"/>
      <c r="T18" s="3"/>
    </row>
    <row r="19" spans="1:20" s="5" customFormat="1" ht="15.75" customHeight="1">
      <c r="A19" s="52">
        <v>46200</v>
      </c>
      <c r="B19" s="52">
        <v>46201</v>
      </c>
      <c r="C19" s="1">
        <v>82</v>
      </c>
      <c r="D19" s="1"/>
      <c r="E19" s="1" t="s">
        <v>39</v>
      </c>
      <c r="F19" s="1"/>
      <c r="G19" s="1"/>
      <c r="H19" s="1"/>
      <c r="I19" s="1">
        <v>19062</v>
      </c>
      <c r="J19" s="1" t="s">
        <v>48</v>
      </c>
      <c r="K19" s="38"/>
      <c r="L19" s="560"/>
      <c r="M19" s="558">
        <v>0.4</v>
      </c>
      <c r="N19" s="44">
        <v>0.5</v>
      </c>
      <c r="O19" s="562" t="s">
        <v>42</v>
      </c>
      <c r="P19" s="19"/>
      <c r="Q19" s="627"/>
      <c r="R19" s="4"/>
      <c r="S19" s="4"/>
      <c r="T19" s="3"/>
    </row>
    <row r="20" spans="1:20" s="5" customFormat="1" ht="15.75" customHeight="1">
      <c r="A20" s="52">
        <v>46200</v>
      </c>
      <c r="B20" s="52">
        <v>46201</v>
      </c>
      <c r="C20" s="1">
        <v>82</v>
      </c>
      <c r="D20" s="1"/>
      <c r="E20" s="1" t="s">
        <v>39</v>
      </c>
      <c r="F20" s="1"/>
      <c r="G20" s="1"/>
      <c r="H20" s="1"/>
      <c r="I20" s="1">
        <v>10652</v>
      </c>
      <c r="J20" s="1" t="s">
        <v>49</v>
      </c>
      <c r="K20" s="38"/>
      <c r="L20" s="12"/>
      <c r="M20" s="558">
        <v>0.4</v>
      </c>
      <c r="N20" s="44">
        <v>0.5</v>
      </c>
      <c r="O20" s="562" t="s">
        <v>42</v>
      </c>
      <c r="P20" s="19"/>
      <c r="Q20" s="628"/>
      <c r="R20" s="4"/>
      <c r="S20" s="4"/>
      <c r="T20" s="3"/>
    </row>
    <row r="21" spans="1:20" s="5" customFormat="1" ht="15.75" customHeight="1">
      <c r="A21" s="52">
        <v>46200</v>
      </c>
      <c r="B21" s="52">
        <v>46201</v>
      </c>
      <c r="C21" s="1">
        <v>82</v>
      </c>
      <c r="D21" s="1"/>
      <c r="E21" s="1" t="s">
        <v>39</v>
      </c>
      <c r="F21" s="1"/>
      <c r="G21" s="1"/>
      <c r="H21" s="1"/>
      <c r="I21" s="564"/>
      <c r="J21" s="1" t="s">
        <v>50</v>
      </c>
      <c r="K21" s="561">
        <v>483033</v>
      </c>
      <c r="L21" s="565" t="s">
        <v>51</v>
      </c>
      <c r="M21" s="558">
        <v>0.4</v>
      </c>
      <c r="N21" s="555" t="s">
        <v>52</v>
      </c>
      <c r="O21" s="556"/>
      <c r="P21" s="19"/>
      <c r="Q21" s="557"/>
      <c r="R21" s="4"/>
      <c r="S21" s="4"/>
      <c r="T21" s="3"/>
    </row>
    <row r="22" spans="1:20" s="5" customFormat="1" ht="15">
      <c r="A22" s="324">
        <v>46199</v>
      </c>
      <c r="B22" s="324">
        <v>46200</v>
      </c>
      <c r="C22" s="1">
        <v>80</v>
      </c>
      <c r="D22" s="1"/>
      <c r="E22" s="1"/>
      <c r="F22" s="1"/>
      <c r="G22" s="1"/>
      <c r="H22" s="68"/>
      <c r="I22" s="81">
        <v>53389</v>
      </c>
      <c r="J22" s="442" t="s">
        <v>53</v>
      </c>
      <c r="K22" s="559" t="s">
        <v>54</v>
      </c>
      <c r="L22" s="106" t="s">
        <v>54</v>
      </c>
      <c r="M22" s="346">
        <v>0.25</v>
      </c>
      <c r="N22" s="346">
        <v>0.35</v>
      </c>
      <c r="O22" s="24"/>
      <c r="P22" s="19"/>
      <c r="Q22" s="349" t="s">
        <v>55</v>
      </c>
      <c r="R22" s="4"/>
      <c r="S22" s="4"/>
      <c r="T22" s="3"/>
    </row>
    <row r="23" spans="1:20" ht="15">
      <c r="A23" s="324">
        <v>46199</v>
      </c>
      <c r="B23" s="324">
        <v>46200</v>
      </c>
      <c r="C23" s="68">
        <v>80</v>
      </c>
      <c r="D23" s="243"/>
      <c r="E23" s="243"/>
      <c r="F23" s="243"/>
      <c r="G23" s="243"/>
      <c r="H23" s="344"/>
      <c r="I23" s="81">
        <v>9981</v>
      </c>
      <c r="J23" s="592" t="s">
        <v>56</v>
      </c>
      <c r="K23" s="110" t="s">
        <v>54</v>
      </c>
      <c r="L23" s="322" t="s">
        <v>54</v>
      </c>
      <c r="M23" s="345">
        <v>0.25</v>
      </c>
      <c r="N23" s="346">
        <v>0.35</v>
      </c>
      <c r="O23" s="232"/>
      <c r="P23" s="232"/>
      <c r="Q23" s="349" t="s">
        <v>55</v>
      </c>
      <c r="R23" s="243"/>
      <c r="S23" s="243"/>
    </row>
    <row r="24" spans="1:20" ht="15">
      <c r="A24" s="324">
        <v>46199</v>
      </c>
      <c r="B24" s="324">
        <v>46200</v>
      </c>
      <c r="C24" s="68">
        <v>80</v>
      </c>
      <c r="D24" s="243"/>
      <c r="E24" s="243"/>
      <c r="F24" s="243"/>
      <c r="G24" s="243"/>
      <c r="H24" s="344"/>
      <c r="I24" s="81">
        <v>2042</v>
      </c>
      <c r="J24" s="592" t="s">
        <v>57</v>
      </c>
      <c r="K24" s="110" t="s">
        <v>54</v>
      </c>
      <c r="L24" s="110" t="s">
        <v>54</v>
      </c>
      <c r="M24" s="345">
        <v>0.25</v>
      </c>
      <c r="N24" s="346">
        <v>0.35</v>
      </c>
      <c r="O24" s="232"/>
      <c r="P24" s="232"/>
      <c r="Q24" s="349" t="s">
        <v>55</v>
      </c>
      <c r="R24" s="243"/>
      <c r="S24" s="243"/>
    </row>
    <row r="25" spans="1:20" ht="15">
      <c r="A25" s="324">
        <v>46199</v>
      </c>
      <c r="B25" s="324">
        <v>46199</v>
      </c>
      <c r="C25" s="68">
        <v>80</v>
      </c>
      <c r="D25" s="341"/>
      <c r="E25" s="243"/>
      <c r="F25" s="243"/>
      <c r="G25" s="243"/>
      <c r="H25" s="344"/>
      <c r="I25" s="81">
        <v>88453</v>
      </c>
      <c r="J25" s="592" t="s">
        <v>58</v>
      </c>
      <c r="K25" s="110" t="s">
        <v>54</v>
      </c>
      <c r="L25" s="110" t="s">
        <v>54</v>
      </c>
      <c r="M25" s="347">
        <v>0.3</v>
      </c>
      <c r="N25" s="348">
        <v>0.4</v>
      </c>
      <c r="O25" s="232"/>
      <c r="P25" s="232"/>
      <c r="Q25" s="351" t="s">
        <v>59</v>
      </c>
      <c r="R25" s="243"/>
      <c r="S25" s="243"/>
    </row>
    <row r="26" spans="1:20" ht="15">
      <c r="A26" s="220">
        <v>46199</v>
      </c>
      <c r="B26" s="220">
        <v>46199</v>
      </c>
      <c r="C26" s="376">
        <v>80</v>
      </c>
      <c r="D26" s="377">
        <v>8068</v>
      </c>
      <c r="E26" s="355" t="s">
        <v>60</v>
      </c>
      <c r="F26" s="341"/>
      <c r="G26" s="341"/>
      <c r="H26" s="341"/>
      <c r="I26" s="563"/>
      <c r="J26" s="341"/>
      <c r="K26" s="341"/>
      <c r="L26" s="368"/>
      <c r="M26" s="364">
        <v>0.3</v>
      </c>
      <c r="N26" s="364">
        <v>0.4</v>
      </c>
      <c r="O26" s="183" t="s">
        <v>61</v>
      </c>
      <c r="P26" s="183"/>
      <c r="Q26" s="365" t="s">
        <v>59</v>
      </c>
      <c r="R26" s="341"/>
      <c r="S26" s="341"/>
    </row>
    <row r="27" spans="1:20" ht="15">
      <c r="A27" s="605" t="s">
        <v>62</v>
      </c>
      <c r="B27" s="606"/>
      <c r="C27" s="606"/>
      <c r="D27" s="606"/>
      <c r="E27" s="606"/>
      <c r="F27" s="606"/>
      <c r="G27" s="606"/>
      <c r="H27" s="606"/>
      <c r="I27" s="607"/>
      <c r="J27" s="606"/>
      <c r="K27" s="606"/>
      <c r="L27" s="606"/>
      <c r="M27" s="606"/>
      <c r="N27" s="606"/>
      <c r="O27" s="606"/>
      <c r="P27" s="606"/>
      <c r="Q27" s="606"/>
      <c r="R27" s="243"/>
      <c r="S27" s="243"/>
    </row>
    <row r="28" spans="1:20" ht="15">
      <c r="A28" s="193">
        <v>46218</v>
      </c>
      <c r="B28" s="193">
        <v>46218</v>
      </c>
      <c r="C28" s="378">
        <v>80</v>
      </c>
      <c r="D28" s="367"/>
      <c r="E28" s="367"/>
      <c r="F28" s="367"/>
      <c r="G28" s="367"/>
      <c r="H28" s="593"/>
      <c r="I28" s="81">
        <v>53389</v>
      </c>
      <c r="J28" s="443" t="s">
        <v>53</v>
      </c>
      <c r="K28" s="367"/>
      <c r="L28" s="367"/>
      <c r="M28" s="347">
        <v>0.25</v>
      </c>
      <c r="N28" s="348">
        <v>0.35</v>
      </c>
      <c r="O28" s="367"/>
      <c r="P28" s="184"/>
      <c r="Q28" s="379" t="s">
        <v>55</v>
      </c>
      <c r="R28" s="367"/>
      <c r="S28" s="367"/>
    </row>
    <row r="29" spans="1:20" ht="15">
      <c r="A29" s="52">
        <v>46218</v>
      </c>
      <c r="B29" s="52">
        <v>46218</v>
      </c>
      <c r="C29" s="376">
        <v>80</v>
      </c>
      <c r="D29" s="341"/>
      <c r="E29" s="341"/>
      <c r="F29" s="341"/>
      <c r="G29" s="341"/>
      <c r="H29" s="376"/>
      <c r="I29" s="81">
        <v>2042</v>
      </c>
      <c r="J29" s="594" t="s">
        <v>57</v>
      </c>
      <c r="K29" s="341"/>
      <c r="L29" s="341"/>
      <c r="M29" s="585">
        <v>0.25</v>
      </c>
      <c r="N29" s="586">
        <v>0.35</v>
      </c>
      <c r="O29" s="341"/>
      <c r="P29" s="183"/>
      <c r="Q29" s="587" t="s">
        <v>55</v>
      </c>
      <c r="R29" s="341"/>
      <c r="S29" s="341"/>
    </row>
    <row r="30" spans="1:20" ht="15">
      <c r="A30" s="52">
        <v>46218</v>
      </c>
      <c r="B30" s="584">
        <v>46218</v>
      </c>
      <c r="C30" s="243">
        <v>82</v>
      </c>
      <c r="D30" s="243"/>
      <c r="E30" s="243" t="s">
        <v>39</v>
      </c>
      <c r="F30" s="243"/>
      <c r="G30" s="243"/>
      <c r="H30" s="243"/>
      <c r="I30" s="141">
        <v>2054</v>
      </c>
      <c r="J30" s="81" t="s">
        <v>63</v>
      </c>
      <c r="K30" s="243"/>
      <c r="L30" s="344"/>
      <c r="M30" s="352">
        <v>0.4</v>
      </c>
      <c r="N30" s="265"/>
      <c r="O30" s="232" t="s">
        <v>64</v>
      </c>
      <c r="P30" s="232"/>
      <c r="Q30" s="243"/>
      <c r="R30" s="243"/>
      <c r="S30" s="243"/>
    </row>
  </sheetData>
  <sortState xmlns:xlrd2="http://schemas.microsoft.com/office/spreadsheetml/2017/richdata2" ref="C3:R22">
    <sortCondition ref="C3:C22"/>
    <sortCondition ref="D3:D22"/>
    <sortCondition ref="J3:J22"/>
  </sortState>
  <mergeCells count="11">
    <mergeCell ref="A27:Q27"/>
    <mergeCell ref="R7:R14"/>
    <mergeCell ref="A1:R1"/>
    <mergeCell ref="R3:R6"/>
    <mergeCell ref="M15:N15"/>
    <mergeCell ref="M3:M6"/>
    <mergeCell ref="N3:N6"/>
    <mergeCell ref="O3:O6"/>
    <mergeCell ref="O7:O14"/>
    <mergeCell ref="M7:N14"/>
    <mergeCell ref="Q16:Q20"/>
  </mergeCells>
  <dataValidations count="1">
    <dataValidation allowBlank="1" showInputMessage="1" showErrorMessage="1" prompt="Relate la mecánica de la oferta, aquí puede indicar todo el detalle de la misma. _x000a_Ej -&gt;20% de dcto en la marca 02833 pagando con tarjeta de crédito." sqref="M7" xr:uid="{00000000-0002-0000-0000-000000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97B5-1D8C-496F-8EB0-379EE260B493}">
  <sheetPr>
    <tabColor theme="4" tint="0.79998168889431442"/>
  </sheetPr>
  <dimension ref="A1:S28"/>
  <sheetViews>
    <sheetView topLeftCell="E1" zoomScale="86" zoomScaleNormal="86" workbookViewId="0">
      <pane ySplit="1" topLeftCell="A22" activePane="bottomLeft" state="frozen"/>
      <selection pane="bottomLeft" activeCell="E28" sqref="E28:G28"/>
    </sheetView>
  </sheetViews>
  <sheetFormatPr baseColWidth="10" defaultColWidth="11.42578125" defaultRowHeight="15.75"/>
  <cols>
    <col min="1" max="1" width="8.28515625" bestFit="1" customWidth="1"/>
    <col min="2" max="2" width="12.28515625" style="25" bestFit="1" customWidth="1"/>
    <col min="3" max="3" width="10.42578125" style="25" bestFit="1" customWidth="1"/>
    <col min="4" max="4" width="11.85546875" style="8" bestFit="1" customWidth="1"/>
    <col min="5" max="5" width="29.85546875" style="41" customWidth="1"/>
    <col min="6" max="6" width="34.85546875" style="11" customWidth="1"/>
    <col min="7" max="7" width="15" style="8" customWidth="1"/>
    <col min="8" max="8" width="18.140625" style="8" customWidth="1"/>
    <col min="9" max="9" width="10" style="8" customWidth="1"/>
    <col min="10" max="11" width="12.5703125" style="8" customWidth="1"/>
    <col min="12" max="12" width="10.42578125" style="8" customWidth="1"/>
    <col min="13" max="13" width="19.140625" style="11" customWidth="1"/>
    <col min="14" max="14" width="23.140625" style="26" customWidth="1"/>
    <col min="15" max="15" width="32.42578125" style="22" customWidth="1"/>
    <col min="16" max="16" width="29.140625" customWidth="1"/>
    <col min="17" max="17" width="20.85546875" customWidth="1"/>
    <col min="18" max="18" width="13.85546875" bestFit="1" customWidth="1"/>
  </cols>
  <sheetData>
    <row r="1" spans="1:19" s="10" customFormat="1">
      <c r="A1" s="31" t="s">
        <v>65</v>
      </c>
      <c r="B1" s="15" t="s">
        <v>66</v>
      </c>
      <c r="C1" s="15" t="s">
        <v>67</v>
      </c>
      <c r="D1" s="15" t="s">
        <v>3</v>
      </c>
      <c r="E1" s="14" t="s">
        <v>11</v>
      </c>
      <c r="F1" s="14" t="s">
        <v>68</v>
      </c>
      <c r="G1" s="15" t="s">
        <v>69</v>
      </c>
      <c r="H1" s="14" t="s">
        <v>5</v>
      </c>
      <c r="I1" s="14" t="s">
        <v>6</v>
      </c>
      <c r="J1" s="14" t="s">
        <v>7</v>
      </c>
      <c r="K1" s="14" t="s">
        <v>8</v>
      </c>
      <c r="L1" s="102" t="s">
        <v>9</v>
      </c>
      <c r="M1" s="102" t="s">
        <v>10</v>
      </c>
      <c r="N1" s="14" t="s">
        <v>13</v>
      </c>
      <c r="O1" s="14" t="s">
        <v>70</v>
      </c>
      <c r="P1" s="36" t="s">
        <v>19</v>
      </c>
      <c r="Q1" s="40"/>
      <c r="R1" s="40"/>
      <c r="S1" s="40"/>
    </row>
    <row r="2" spans="1:19">
      <c r="A2" s="631" t="s">
        <v>71</v>
      </c>
      <c r="B2" s="595">
        <v>46199</v>
      </c>
      <c r="C2" s="78">
        <v>46219</v>
      </c>
      <c r="D2" s="7">
        <v>85</v>
      </c>
      <c r="E2" s="245">
        <v>918197</v>
      </c>
      <c r="F2" s="185" t="s">
        <v>72</v>
      </c>
      <c r="G2" s="250" t="s">
        <v>73</v>
      </c>
      <c r="H2" s="7"/>
      <c r="I2" s="7"/>
      <c r="J2" s="7"/>
      <c r="K2" s="74"/>
      <c r="L2" s="438">
        <v>14544</v>
      </c>
      <c r="M2" s="83"/>
      <c r="N2" s="442" t="s">
        <v>74</v>
      </c>
      <c r="O2" s="23"/>
      <c r="P2" s="22"/>
      <c r="Q2" s="22"/>
    </row>
    <row r="3" spans="1:19">
      <c r="A3" s="630"/>
      <c r="B3" s="595">
        <v>46199</v>
      </c>
      <c r="C3" s="78">
        <v>46219</v>
      </c>
      <c r="D3" s="7">
        <v>85</v>
      </c>
      <c r="E3" s="246">
        <v>3210996</v>
      </c>
      <c r="F3" s="176" t="s">
        <v>75</v>
      </c>
      <c r="G3" s="251" t="s">
        <v>73</v>
      </c>
      <c r="H3" s="7"/>
      <c r="I3" s="7"/>
      <c r="J3" s="7"/>
      <c r="K3" s="74"/>
      <c r="L3" s="439">
        <v>17798</v>
      </c>
      <c r="M3" s="438" t="s">
        <v>76</v>
      </c>
      <c r="N3" s="443" t="s">
        <v>74</v>
      </c>
      <c r="O3" s="23"/>
      <c r="P3" s="22"/>
      <c r="Q3" s="22"/>
    </row>
    <row r="4" spans="1:19">
      <c r="A4" s="49" t="s">
        <v>71</v>
      </c>
      <c r="B4" s="595">
        <v>46199</v>
      </c>
      <c r="C4" s="78">
        <v>46219</v>
      </c>
      <c r="D4" s="7">
        <v>85</v>
      </c>
      <c r="E4" s="246" t="s">
        <v>77</v>
      </c>
      <c r="F4" s="176" t="s">
        <v>78</v>
      </c>
      <c r="G4" s="251" t="s">
        <v>79</v>
      </c>
      <c r="H4" s="7"/>
      <c r="I4" s="7"/>
      <c r="J4" s="7"/>
      <c r="K4" s="74"/>
      <c r="L4" s="438">
        <v>14544</v>
      </c>
      <c r="M4" s="83"/>
      <c r="N4" s="313">
        <v>0.2</v>
      </c>
      <c r="O4" s="23"/>
      <c r="P4" s="22"/>
      <c r="Q4" s="22"/>
    </row>
    <row r="5" spans="1:19">
      <c r="A5" s="49" t="s">
        <v>71</v>
      </c>
      <c r="B5" s="595">
        <v>46199</v>
      </c>
      <c r="C5" s="78">
        <v>46219</v>
      </c>
      <c r="D5" s="7">
        <v>85</v>
      </c>
      <c r="E5" s="246">
        <v>1253</v>
      </c>
      <c r="F5" s="176" t="s">
        <v>80</v>
      </c>
      <c r="G5" s="251" t="s">
        <v>79</v>
      </c>
      <c r="H5" s="7"/>
      <c r="I5" s="7"/>
      <c r="J5" s="7"/>
      <c r="K5" s="74"/>
      <c r="L5" s="446">
        <v>14544</v>
      </c>
      <c r="M5" s="83"/>
      <c r="N5" s="313">
        <v>0.2</v>
      </c>
      <c r="O5" s="23"/>
      <c r="P5" s="22"/>
      <c r="Q5" s="22"/>
    </row>
    <row r="6" spans="1:19">
      <c r="A6" s="629" t="s">
        <v>71</v>
      </c>
      <c r="B6" s="595">
        <v>46199</v>
      </c>
      <c r="C6" s="78">
        <v>46219</v>
      </c>
      <c r="D6" s="7">
        <v>85</v>
      </c>
      <c r="E6" s="246" t="s">
        <v>81</v>
      </c>
      <c r="F6" s="176" t="s">
        <v>82</v>
      </c>
      <c r="G6" s="251" t="s">
        <v>79</v>
      </c>
      <c r="H6" s="7"/>
      <c r="I6" s="7"/>
      <c r="J6" s="7"/>
      <c r="K6" s="74"/>
      <c r="L6" s="438">
        <v>14544</v>
      </c>
      <c r="M6" s="444"/>
      <c r="N6" s="313">
        <v>0.2</v>
      </c>
      <c r="O6" s="23"/>
      <c r="P6" s="22"/>
      <c r="Q6" s="22"/>
    </row>
    <row r="7" spans="1:19">
      <c r="A7" s="630"/>
      <c r="B7" s="595">
        <v>46199</v>
      </c>
      <c r="C7" s="78">
        <v>46219</v>
      </c>
      <c r="D7" s="7">
        <v>85</v>
      </c>
      <c r="E7" s="246">
        <v>594130</v>
      </c>
      <c r="F7" s="176" t="s">
        <v>83</v>
      </c>
      <c r="G7" s="251" t="s">
        <v>84</v>
      </c>
      <c r="H7" s="7"/>
      <c r="I7" s="7"/>
      <c r="J7" s="7"/>
      <c r="K7" s="74"/>
      <c r="L7" s="439">
        <v>50000</v>
      </c>
      <c r="M7" s="445" t="s">
        <v>85</v>
      </c>
      <c r="N7" s="313">
        <v>0.2</v>
      </c>
      <c r="O7" s="23"/>
      <c r="P7" s="22"/>
      <c r="Q7" s="22"/>
    </row>
    <row r="8" spans="1:19">
      <c r="A8" s="49" t="s">
        <v>71</v>
      </c>
      <c r="B8" s="595">
        <v>46199</v>
      </c>
      <c r="C8" s="78">
        <v>46219</v>
      </c>
      <c r="D8" s="7">
        <v>85</v>
      </c>
      <c r="E8" s="246">
        <v>1796</v>
      </c>
      <c r="F8" s="176" t="s">
        <v>86</v>
      </c>
      <c r="G8" s="251" t="s">
        <v>84</v>
      </c>
      <c r="H8" s="7"/>
      <c r="I8" s="7"/>
      <c r="J8" s="7"/>
      <c r="K8" s="74"/>
      <c r="L8" s="439">
        <v>17798</v>
      </c>
      <c r="M8" s="445" t="s">
        <v>76</v>
      </c>
      <c r="N8" s="313">
        <v>0.2</v>
      </c>
      <c r="O8" s="23"/>
      <c r="P8" s="22"/>
      <c r="Q8" s="22"/>
    </row>
    <row r="9" spans="1:19">
      <c r="A9" s="49" t="s">
        <v>71</v>
      </c>
      <c r="B9" s="595">
        <v>46199</v>
      </c>
      <c r="C9" s="78">
        <v>46219</v>
      </c>
      <c r="D9" s="7">
        <v>85</v>
      </c>
      <c r="E9" s="246" t="s">
        <v>87</v>
      </c>
      <c r="F9" s="176" t="s">
        <v>88</v>
      </c>
      <c r="G9" s="251" t="s">
        <v>89</v>
      </c>
      <c r="H9" s="7"/>
      <c r="I9" s="7"/>
      <c r="J9" s="7"/>
      <c r="K9" s="74"/>
      <c r="L9" s="440" t="s">
        <v>90</v>
      </c>
      <c r="M9" s="445" t="s">
        <v>85</v>
      </c>
      <c r="N9" s="313">
        <v>0.2</v>
      </c>
      <c r="O9" s="23"/>
      <c r="P9" s="22"/>
      <c r="Q9" s="22"/>
    </row>
    <row r="10" spans="1:19">
      <c r="A10" s="49" t="s">
        <v>71</v>
      </c>
      <c r="B10" s="595">
        <v>46199</v>
      </c>
      <c r="C10" s="78">
        <v>46219</v>
      </c>
      <c r="D10" s="7">
        <v>85</v>
      </c>
      <c r="E10" s="246">
        <v>3161785</v>
      </c>
      <c r="F10" s="176" t="s">
        <v>91</v>
      </c>
      <c r="G10" s="251" t="s">
        <v>84</v>
      </c>
      <c r="H10" s="7"/>
      <c r="I10" s="7"/>
      <c r="J10" s="7"/>
      <c r="K10" s="74"/>
      <c r="L10" s="439">
        <v>50000</v>
      </c>
      <c r="M10" s="445" t="s">
        <v>85</v>
      </c>
      <c r="N10" s="313">
        <v>0.2</v>
      </c>
      <c r="O10" s="23"/>
      <c r="P10" s="22"/>
      <c r="Q10" s="22"/>
    </row>
    <row r="11" spans="1:19" s="58" customFormat="1" ht="30">
      <c r="A11" s="49" t="s">
        <v>71</v>
      </c>
      <c r="B11" s="595">
        <v>46199</v>
      </c>
      <c r="C11" s="78">
        <v>46219</v>
      </c>
      <c r="D11" s="1">
        <v>85</v>
      </c>
      <c r="E11" s="524">
        <v>3161760</v>
      </c>
      <c r="F11" s="525" t="s">
        <v>92</v>
      </c>
      <c r="G11" s="526" t="s">
        <v>84</v>
      </c>
      <c r="H11" s="1"/>
      <c r="I11" s="1"/>
      <c r="J11" s="1"/>
      <c r="K11" s="68"/>
      <c r="L11" s="527">
        <v>50000</v>
      </c>
      <c r="M11" s="528" t="s">
        <v>85</v>
      </c>
      <c r="N11" s="529" t="s">
        <v>93</v>
      </c>
      <c r="O11" s="20"/>
      <c r="P11" s="37"/>
      <c r="Q11" s="37"/>
    </row>
    <row r="12" spans="1:19">
      <c r="A12" s="629" t="s">
        <v>71</v>
      </c>
      <c r="B12" s="595">
        <v>46199</v>
      </c>
      <c r="C12" s="78">
        <v>46219</v>
      </c>
      <c r="D12" s="7">
        <v>85</v>
      </c>
      <c r="E12" s="246">
        <v>1250</v>
      </c>
      <c r="F12" s="176" t="s">
        <v>94</v>
      </c>
      <c r="G12" s="251" t="s">
        <v>79</v>
      </c>
      <c r="H12" s="7"/>
      <c r="I12" s="7"/>
      <c r="J12" s="7"/>
      <c r="K12" s="74"/>
      <c r="L12" s="447">
        <v>14544</v>
      </c>
      <c r="M12" s="83"/>
      <c r="N12" s="313">
        <v>0.2</v>
      </c>
      <c r="O12" s="23"/>
      <c r="P12" s="22"/>
      <c r="Q12" s="22"/>
    </row>
    <row r="13" spans="1:19">
      <c r="A13" s="630"/>
      <c r="B13" s="595">
        <v>46199</v>
      </c>
      <c r="C13" s="78">
        <v>46219</v>
      </c>
      <c r="D13" s="7">
        <v>85</v>
      </c>
      <c r="E13" s="246">
        <v>715860</v>
      </c>
      <c r="F13" s="176" t="s">
        <v>95</v>
      </c>
      <c r="G13" s="251" t="s">
        <v>84</v>
      </c>
      <c r="H13" s="7"/>
      <c r="I13" s="7"/>
      <c r="J13" s="7"/>
      <c r="K13" s="74"/>
      <c r="L13" s="438">
        <v>14544</v>
      </c>
      <c r="M13" s="83"/>
      <c r="N13" s="313">
        <v>0.2</v>
      </c>
      <c r="O13" s="23"/>
      <c r="P13" s="22"/>
      <c r="Q13" s="22"/>
    </row>
    <row r="14" spans="1:19">
      <c r="A14" s="629" t="s">
        <v>71</v>
      </c>
      <c r="B14" s="595">
        <v>46199</v>
      </c>
      <c r="C14" s="78">
        <v>46219</v>
      </c>
      <c r="D14" s="7">
        <v>85</v>
      </c>
      <c r="E14" s="246">
        <v>1159</v>
      </c>
      <c r="F14" s="176" t="s">
        <v>96</v>
      </c>
      <c r="G14" s="251" t="s">
        <v>79</v>
      </c>
      <c r="H14" s="7"/>
      <c r="I14" s="7"/>
      <c r="J14" s="7"/>
      <c r="K14" s="74"/>
      <c r="L14" s="438">
        <v>14544</v>
      </c>
      <c r="M14" s="83"/>
      <c r="N14" s="313">
        <v>0.2</v>
      </c>
      <c r="O14" s="23"/>
      <c r="P14" s="22"/>
      <c r="Q14" s="22"/>
    </row>
    <row r="15" spans="1:19">
      <c r="A15" s="630"/>
      <c r="B15" s="595">
        <v>46199</v>
      </c>
      <c r="C15" s="78">
        <v>46219</v>
      </c>
      <c r="D15" s="7">
        <v>85</v>
      </c>
      <c r="E15" s="246">
        <v>3476050</v>
      </c>
      <c r="F15" s="176" t="s">
        <v>97</v>
      </c>
      <c r="G15" s="251" t="s">
        <v>84</v>
      </c>
      <c r="H15" s="7"/>
      <c r="I15" s="7"/>
      <c r="J15" s="7"/>
      <c r="K15" s="74"/>
      <c r="L15" s="438">
        <v>14544</v>
      </c>
      <c r="M15" s="83"/>
      <c r="N15" s="313">
        <v>0.2</v>
      </c>
      <c r="O15" s="23"/>
      <c r="P15" s="22"/>
      <c r="Q15" s="22"/>
    </row>
    <row r="16" spans="1:19">
      <c r="A16" s="49" t="s">
        <v>71</v>
      </c>
      <c r="B16" s="595">
        <v>46199</v>
      </c>
      <c r="C16" s="78">
        <v>46219</v>
      </c>
      <c r="D16" s="7">
        <v>85</v>
      </c>
      <c r="E16" s="247">
        <v>118552</v>
      </c>
      <c r="F16" s="244" t="s">
        <v>98</v>
      </c>
      <c r="G16" s="252" t="s">
        <v>79</v>
      </c>
      <c r="H16" s="7"/>
      <c r="I16" s="7"/>
      <c r="J16" s="7"/>
      <c r="K16" s="74"/>
      <c r="L16" s="83"/>
      <c r="M16" s="438" t="s">
        <v>99</v>
      </c>
      <c r="N16" s="443" t="s">
        <v>100</v>
      </c>
      <c r="O16" s="23"/>
      <c r="P16" s="22"/>
      <c r="Q16" s="22"/>
    </row>
    <row r="17" spans="1:17">
      <c r="A17" s="49" t="s">
        <v>71</v>
      </c>
      <c r="B17" s="595">
        <v>46199</v>
      </c>
      <c r="C17" s="78">
        <v>46219</v>
      </c>
      <c r="D17" s="7">
        <v>85</v>
      </c>
      <c r="E17" s="246" t="s">
        <v>101</v>
      </c>
      <c r="F17" s="176" t="s">
        <v>102</v>
      </c>
      <c r="G17" s="251" t="s">
        <v>79</v>
      </c>
      <c r="H17" s="7"/>
      <c r="I17" s="7"/>
      <c r="J17" s="7"/>
      <c r="K17" s="74"/>
      <c r="L17" s="438">
        <v>14544</v>
      </c>
      <c r="M17" s="83"/>
      <c r="N17" s="313">
        <v>0.2</v>
      </c>
      <c r="O17" s="23"/>
      <c r="P17" s="22"/>
      <c r="Q17" s="22"/>
    </row>
    <row r="18" spans="1:17">
      <c r="A18" s="629" t="s">
        <v>71</v>
      </c>
      <c r="B18" s="595">
        <v>46199</v>
      </c>
      <c r="C18" s="78">
        <v>46219</v>
      </c>
      <c r="D18" s="7">
        <v>85</v>
      </c>
      <c r="E18" s="246">
        <v>157710</v>
      </c>
      <c r="F18" s="176" t="s">
        <v>103</v>
      </c>
      <c r="G18" s="251" t="s">
        <v>104</v>
      </c>
      <c r="H18" s="7"/>
      <c r="I18" s="7"/>
      <c r="J18" s="7"/>
      <c r="K18" s="74"/>
      <c r="L18" s="439">
        <v>17798</v>
      </c>
      <c r="M18" s="438" t="s">
        <v>105</v>
      </c>
      <c r="N18" s="313">
        <v>0.2</v>
      </c>
      <c r="O18" s="23"/>
      <c r="P18" s="22"/>
      <c r="Q18" s="22"/>
    </row>
    <row r="19" spans="1:17">
      <c r="A19" s="630"/>
      <c r="B19" s="595">
        <v>46199</v>
      </c>
      <c r="C19" s="78">
        <v>46219</v>
      </c>
      <c r="D19" s="7">
        <v>85</v>
      </c>
      <c r="E19" s="246">
        <v>3788688</v>
      </c>
      <c r="F19" s="176" t="s">
        <v>106</v>
      </c>
      <c r="G19" s="251" t="s">
        <v>107</v>
      </c>
      <c r="H19" s="7"/>
      <c r="I19" s="7"/>
      <c r="J19" s="7"/>
      <c r="K19" s="74"/>
      <c r="L19" s="438">
        <v>14544</v>
      </c>
      <c r="M19" s="83"/>
      <c r="N19" s="313">
        <v>0.2</v>
      </c>
      <c r="O19" s="23"/>
      <c r="P19" s="22"/>
      <c r="Q19" s="22"/>
    </row>
    <row r="20" spans="1:17">
      <c r="A20" s="49" t="s">
        <v>71</v>
      </c>
      <c r="B20" s="595">
        <v>46199</v>
      </c>
      <c r="C20" s="78">
        <v>46219</v>
      </c>
      <c r="D20" s="1">
        <v>85</v>
      </c>
      <c r="E20" s="246" t="s">
        <v>108</v>
      </c>
      <c r="F20" s="176" t="s">
        <v>109</v>
      </c>
      <c r="G20" s="251" t="s">
        <v>110</v>
      </c>
      <c r="H20" s="7"/>
      <c r="I20" s="7"/>
      <c r="J20" s="7"/>
      <c r="K20" s="74"/>
      <c r="L20" s="446">
        <v>14544</v>
      </c>
      <c r="M20" s="83"/>
      <c r="N20" s="313">
        <v>0.2</v>
      </c>
      <c r="O20" s="23"/>
      <c r="P20" s="37"/>
      <c r="Q20" s="22"/>
    </row>
    <row r="21" spans="1:17">
      <c r="A21" s="49" t="s">
        <v>71</v>
      </c>
      <c r="B21" s="595">
        <v>46199</v>
      </c>
      <c r="C21" s="78">
        <v>46219</v>
      </c>
      <c r="D21" s="7">
        <v>85</v>
      </c>
      <c r="E21" s="246" t="s">
        <v>111</v>
      </c>
      <c r="F21" s="176" t="s">
        <v>112</v>
      </c>
      <c r="G21" s="251" t="s">
        <v>113</v>
      </c>
      <c r="H21" s="7"/>
      <c r="I21" s="7"/>
      <c r="J21" s="7"/>
      <c r="K21" s="74"/>
      <c r="L21" s="439" t="s">
        <v>90</v>
      </c>
      <c r="M21" s="445" t="s">
        <v>114</v>
      </c>
      <c r="N21" s="313">
        <v>0.2</v>
      </c>
      <c r="O21" s="23"/>
      <c r="P21" s="22"/>
      <c r="Q21" s="22"/>
    </row>
    <row r="22" spans="1:17">
      <c r="A22" s="49" t="s">
        <v>71</v>
      </c>
      <c r="B22" s="595">
        <v>46199</v>
      </c>
      <c r="C22" s="78">
        <v>46219</v>
      </c>
      <c r="D22" s="7">
        <v>85</v>
      </c>
      <c r="E22" s="246" t="s">
        <v>115</v>
      </c>
      <c r="F22" s="176" t="s">
        <v>116</v>
      </c>
      <c r="G22" s="251" t="s">
        <v>117</v>
      </c>
      <c r="H22" s="86"/>
      <c r="I22" s="86"/>
      <c r="J22" s="86"/>
      <c r="K22" s="441"/>
      <c r="L22" s="438">
        <v>14544</v>
      </c>
      <c r="M22" s="444"/>
      <c r="N22" s="313">
        <v>0.2</v>
      </c>
      <c r="O22" s="217"/>
      <c r="P22" s="22"/>
      <c r="Q22" s="22"/>
    </row>
    <row r="23" spans="1:17">
      <c r="A23" s="629" t="s">
        <v>71</v>
      </c>
      <c r="B23" s="595">
        <v>46199</v>
      </c>
      <c r="C23" s="78">
        <v>46219</v>
      </c>
      <c r="D23" s="7">
        <v>85</v>
      </c>
      <c r="E23" s="247" t="s">
        <v>118</v>
      </c>
      <c r="F23" s="248" t="s">
        <v>119</v>
      </c>
      <c r="G23" s="252" t="s">
        <v>120</v>
      </c>
      <c r="H23" s="81"/>
      <c r="I23" s="81"/>
      <c r="J23" s="81"/>
      <c r="K23" s="97"/>
      <c r="L23" s="439">
        <v>4307</v>
      </c>
      <c r="M23" s="445" t="s">
        <v>121</v>
      </c>
      <c r="N23" s="313">
        <v>0.2</v>
      </c>
      <c r="O23" s="82"/>
    </row>
    <row r="24" spans="1:17">
      <c r="A24" s="630"/>
      <c r="B24" s="595">
        <v>46199</v>
      </c>
      <c r="C24" s="78">
        <v>46219</v>
      </c>
      <c r="D24" s="7">
        <v>85</v>
      </c>
      <c r="E24" s="247">
        <v>1166</v>
      </c>
      <c r="F24" s="248" t="s">
        <v>122</v>
      </c>
      <c r="G24" s="252" t="s">
        <v>120</v>
      </c>
      <c r="H24" s="81"/>
      <c r="I24" s="81"/>
      <c r="J24" s="81"/>
      <c r="K24" s="97"/>
      <c r="L24" s="439">
        <v>4308</v>
      </c>
      <c r="M24" s="445" t="s">
        <v>121</v>
      </c>
      <c r="N24" s="313">
        <v>0.2</v>
      </c>
      <c r="O24" s="82"/>
    </row>
    <row r="25" spans="1:17">
      <c r="A25" s="629" t="s">
        <v>71</v>
      </c>
      <c r="B25" s="595">
        <v>46199</v>
      </c>
      <c r="C25" s="78">
        <v>46219</v>
      </c>
      <c r="D25" s="7">
        <v>85</v>
      </c>
      <c r="E25" s="246">
        <v>992224</v>
      </c>
      <c r="F25" s="249" t="s">
        <v>123</v>
      </c>
      <c r="G25" s="251" t="s">
        <v>124</v>
      </c>
      <c r="H25" s="81"/>
      <c r="I25" s="81"/>
      <c r="J25" s="81"/>
      <c r="K25" s="97"/>
      <c r="L25" s="439">
        <v>36937</v>
      </c>
      <c r="M25" s="445" t="s">
        <v>125</v>
      </c>
      <c r="N25" s="313">
        <v>0.2</v>
      </c>
      <c r="O25" s="82"/>
    </row>
    <row r="26" spans="1:17">
      <c r="A26" s="630"/>
      <c r="B26" s="595">
        <v>46199</v>
      </c>
      <c r="C26" s="78">
        <v>46219</v>
      </c>
      <c r="D26" s="7">
        <v>85</v>
      </c>
      <c r="E26" s="247">
        <v>1210029</v>
      </c>
      <c r="F26" s="248" t="s">
        <v>123</v>
      </c>
      <c r="G26" s="252" t="s">
        <v>124</v>
      </c>
      <c r="H26" s="81"/>
      <c r="I26" s="81"/>
      <c r="J26" s="81"/>
      <c r="K26" s="97"/>
      <c r="L26" s="596">
        <v>17798</v>
      </c>
      <c r="M26" s="445" t="s">
        <v>76</v>
      </c>
      <c r="N26" s="539">
        <v>0.2</v>
      </c>
      <c r="O26" s="82"/>
    </row>
    <row r="27" spans="1:17">
      <c r="A27" s="49" t="s">
        <v>71</v>
      </c>
      <c r="B27" s="595">
        <v>46199</v>
      </c>
      <c r="C27" s="78">
        <v>46219</v>
      </c>
      <c r="D27" s="7">
        <v>85</v>
      </c>
      <c r="E27" s="247" t="s">
        <v>126</v>
      </c>
      <c r="F27" s="248" t="s">
        <v>127</v>
      </c>
      <c r="G27" s="252" t="s">
        <v>128</v>
      </c>
      <c r="H27" s="94"/>
      <c r="I27" s="94"/>
      <c r="J27" s="94"/>
      <c r="K27" s="98"/>
      <c r="L27" s="538"/>
      <c r="M27" s="541" t="s">
        <v>129</v>
      </c>
      <c r="N27" s="540">
        <v>0.2</v>
      </c>
      <c r="O27" s="542"/>
    </row>
    <row r="28" spans="1:17">
      <c r="A28" s="537" t="s">
        <v>130</v>
      </c>
      <c r="B28" s="595">
        <v>46199</v>
      </c>
      <c r="C28" s="78">
        <v>46219</v>
      </c>
      <c r="D28" s="7">
        <v>85</v>
      </c>
      <c r="E28" s="544">
        <v>3623120</v>
      </c>
      <c r="F28" s="544" t="s">
        <v>131</v>
      </c>
      <c r="G28" s="545" t="s">
        <v>128</v>
      </c>
      <c r="H28" s="81"/>
      <c r="I28" s="81"/>
      <c r="J28" s="81"/>
      <c r="K28" s="81"/>
      <c r="L28" s="81"/>
      <c r="M28" s="170"/>
      <c r="N28" s="540">
        <v>0.2</v>
      </c>
      <c r="O28" s="543"/>
    </row>
  </sheetData>
  <mergeCells count="7">
    <mergeCell ref="A25:A26"/>
    <mergeCell ref="A2:A3"/>
    <mergeCell ref="A6:A7"/>
    <mergeCell ref="A12:A13"/>
    <mergeCell ref="A14:A15"/>
    <mergeCell ref="A18:A19"/>
    <mergeCell ref="A23:A24"/>
  </mergeCells>
  <phoneticPr fontId="19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14D8-8DE6-4E32-B368-0A8CF325B974}">
  <sheetPr>
    <tabColor theme="4" tint="0.79998168889431442"/>
  </sheetPr>
  <dimension ref="A1:S174"/>
  <sheetViews>
    <sheetView topLeftCell="E1" zoomScale="86" zoomScaleNormal="86" workbookViewId="0">
      <pane ySplit="1" topLeftCell="A2" activePane="bottomLeft" state="frozen"/>
      <selection pane="bottomLeft" activeCell="N11" sqref="N11"/>
    </sheetView>
  </sheetViews>
  <sheetFormatPr baseColWidth="10" defaultColWidth="11.42578125" defaultRowHeight="15.75"/>
  <cols>
    <col min="1" max="1" width="8.28515625" style="8" bestFit="1" customWidth="1"/>
    <col min="2" max="2" width="12.28515625" style="25" bestFit="1" customWidth="1"/>
    <col min="3" max="3" width="11.42578125" style="25" bestFit="1" customWidth="1"/>
    <col min="4" max="4" width="10.5703125" style="8" bestFit="1" customWidth="1"/>
    <col min="5" max="5" width="17.42578125" style="41" customWidth="1"/>
    <col min="6" max="6" width="39" style="11" bestFit="1" customWidth="1"/>
    <col min="7" max="7" width="15" style="8" customWidth="1"/>
    <col min="8" max="8" width="29.28515625" style="8" bestFit="1" customWidth="1"/>
    <col min="9" max="9" width="17.7109375" style="8" bestFit="1" customWidth="1"/>
    <col min="10" max="10" width="13" style="8" bestFit="1" customWidth="1"/>
    <col min="11" max="11" width="20" style="8" bestFit="1" customWidth="1"/>
    <col min="12" max="12" width="10.42578125" style="8" customWidth="1"/>
    <col min="13" max="13" width="13.7109375" style="11" bestFit="1" customWidth="1"/>
    <col min="14" max="14" width="23.140625" style="26" customWidth="1"/>
    <col min="15" max="15" width="16" style="26" customWidth="1"/>
    <col min="16" max="16" width="48.7109375" style="22" bestFit="1" customWidth="1"/>
    <col min="17" max="17" width="5" bestFit="1" customWidth="1"/>
    <col min="18" max="18" width="20.85546875" customWidth="1"/>
    <col min="19" max="19" width="13.85546875" bestFit="1" customWidth="1"/>
  </cols>
  <sheetData>
    <row r="1" spans="1:19" s="10" customFormat="1">
      <c r="A1" s="31" t="s">
        <v>65</v>
      </c>
      <c r="B1" s="15" t="s">
        <v>66</v>
      </c>
      <c r="C1" s="15" t="s">
        <v>67</v>
      </c>
      <c r="D1" s="15" t="s">
        <v>3</v>
      </c>
      <c r="E1" s="14" t="s">
        <v>11</v>
      </c>
      <c r="F1" s="14" t="s">
        <v>68</v>
      </c>
      <c r="G1" s="15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13</v>
      </c>
      <c r="O1" s="14" t="s">
        <v>14</v>
      </c>
      <c r="P1" s="14" t="s">
        <v>70</v>
      </c>
      <c r="Q1" s="36" t="s">
        <v>19</v>
      </c>
      <c r="R1" s="40"/>
      <c r="S1" s="40"/>
    </row>
    <row r="2" spans="1:19">
      <c r="A2" s="662" t="s">
        <v>132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4"/>
      <c r="P2" s="33"/>
      <c r="Q2" s="22"/>
      <c r="R2" s="22"/>
    </row>
    <row r="3" spans="1:19" s="58" customFormat="1" ht="30.75" customHeight="1">
      <c r="A3" s="652" t="s">
        <v>71</v>
      </c>
      <c r="B3" s="59">
        <v>46200</v>
      </c>
      <c r="C3" s="59">
        <v>46200</v>
      </c>
      <c r="D3" s="48">
        <v>48</v>
      </c>
      <c r="E3" s="54">
        <v>184330</v>
      </c>
      <c r="F3" s="55" t="s">
        <v>133</v>
      </c>
      <c r="G3" s="56"/>
      <c r="H3" s="1"/>
      <c r="I3" s="1"/>
      <c r="J3" s="1"/>
      <c r="K3" s="1"/>
      <c r="L3" s="1"/>
      <c r="M3" s="57"/>
      <c r="N3" s="665" t="s">
        <v>134</v>
      </c>
      <c r="O3" s="666"/>
      <c r="P3" s="57" t="s">
        <v>135</v>
      </c>
      <c r="Q3" s="37"/>
      <c r="R3" s="37"/>
    </row>
    <row r="4" spans="1:19" ht="29.25" customHeight="1">
      <c r="A4" s="673"/>
      <c r="B4" s="59">
        <v>46214</v>
      </c>
      <c r="C4" s="59">
        <v>46214</v>
      </c>
      <c r="D4" s="48">
        <v>48</v>
      </c>
      <c r="E4" s="54">
        <v>184330</v>
      </c>
      <c r="F4" s="55" t="s">
        <v>133</v>
      </c>
      <c r="G4" s="28"/>
      <c r="H4" s="7"/>
      <c r="I4" s="7"/>
      <c r="J4" s="7"/>
      <c r="K4" s="7"/>
      <c r="L4" s="7"/>
      <c r="M4" s="9"/>
      <c r="N4" s="665" t="s">
        <v>134</v>
      </c>
      <c r="O4" s="666"/>
      <c r="P4" s="57" t="s">
        <v>135</v>
      </c>
      <c r="Q4" s="22"/>
      <c r="R4" s="22"/>
    </row>
    <row r="5" spans="1:19">
      <c r="A5" s="127"/>
      <c r="B5" s="121"/>
      <c r="C5" s="122"/>
      <c r="D5" s="123"/>
      <c r="E5" s="124"/>
      <c r="F5" s="125"/>
      <c r="G5" s="126"/>
      <c r="H5" s="127"/>
      <c r="I5" s="127"/>
      <c r="J5" s="127"/>
      <c r="K5" s="127"/>
      <c r="L5" s="127"/>
      <c r="M5" s="128"/>
      <c r="N5" s="129"/>
      <c r="O5" s="129"/>
      <c r="P5" s="128"/>
      <c r="Q5" s="22"/>
      <c r="R5" s="22"/>
    </row>
    <row r="6" spans="1:19">
      <c r="A6" s="7" t="s">
        <v>71</v>
      </c>
      <c r="B6" s="59">
        <v>46199</v>
      </c>
      <c r="C6" s="59">
        <v>46219</v>
      </c>
      <c r="D6" s="7">
        <v>89</v>
      </c>
      <c r="E6" s="60">
        <v>3664977</v>
      </c>
      <c r="F6" s="63" t="s">
        <v>136</v>
      </c>
      <c r="G6" s="28"/>
      <c r="H6" s="7"/>
      <c r="I6" s="7"/>
      <c r="J6" s="7"/>
      <c r="K6" s="7"/>
      <c r="L6" s="7"/>
      <c r="M6" s="9"/>
      <c r="N6" s="428">
        <v>29800</v>
      </c>
      <c r="O6" s="45"/>
      <c r="P6" s="9" t="s">
        <v>137</v>
      </c>
      <c r="Q6" s="22"/>
      <c r="R6" s="22"/>
    </row>
    <row r="7" spans="1:19">
      <c r="A7" s="7" t="s">
        <v>71</v>
      </c>
      <c r="B7" s="59">
        <v>46199</v>
      </c>
      <c r="C7" s="59">
        <v>46219</v>
      </c>
      <c r="D7" s="7">
        <v>89</v>
      </c>
      <c r="E7" s="61">
        <v>9810</v>
      </c>
      <c r="F7" s="64" t="s">
        <v>138</v>
      </c>
      <c r="G7" s="28"/>
      <c r="H7" s="7"/>
      <c r="I7" s="7"/>
      <c r="J7" s="7"/>
      <c r="K7" s="7"/>
      <c r="L7" s="7"/>
      <c r="M7" s="9"/>
      <c r="N7" s="428">
        <v>19900</v>
      </c>
      <c r="O7" s="45"/>
      <c r="P7" s="9" t="s">
        <v>137</v>
      </c>
      <c r="Q7" s="22"/>
      <c r="R7" s="22"/>
    </row>
    <row r="8" spans="1:19">
      <c r="A8" s="7" t="s">
        <v>71</v>
      </c>
      <c r="B8" s="59">
        <v>46199</v>
      </c>
      <c r="C8" s="59">
        <v>46219</v>
      </c>
      <c r="D8" s="7">
        <v>89</v>
      </c>
      <c r="E8" s="62">
        <v>418139</v>
      </c>
      <c r="F8" s="65" t="s">
        <v>139</v>
      </c>
      <c r="G8" s="28"/>
      <c r="H8" s="7"/>
      <c r="I8" s="7"/>
      <c r="J8" s="7"/>
      <c r="K8" s="7"/>
      <c r="L8" s="7"/>
      <c r="M8" s="9"/>
      <c r="N8" s="428">
        <v>11900</v>
      </c>
      <c r="O8" s="45"/>
      <c r="P8" s="9" t="s">
        <v>137</v>
      </c>
      <c r="Q8" s="22"/>
      <c r="R8" s="22"/>
    </row>
    <row r="9" spans="1:19">
      <c r="A9" s="7" t="s">
        <v>130</v>
      </c>
      <c r="B9" s="59">
        <v>46199</v>
      </c>
      <c r="C9" s="59">
        <v>46219</v>
      </c>
      <c r="D9" s="7">
        <v>89</v>
      </c>
      <c r="E9" s="62">
        <v>247899</v>
      </c>
      <c r="F9" s="66" t="s">
        <v>140</v>
      </c>
      <c r="G9" s="28"/>
      <c r="H9" s="7"/>
      <c r="I9" s="7"/>
      <c r="J9" s="7"/>
      <c r="K9" s="7"/>
      <c r="L9" s="7"/>
      <c r="M9" s="9"/>
      <c r="N9" s="428">
        <v>12900</v>
      </c>
      <c r="O9" s="45"/>
      <c r="P9" s="9" t="s">
        <v>137</v>
      </c>
      <c r="Q9" s="22"/>
      <c r="R9" s="22"/>
    </row>
    <row r="10" spans="1:19">
      <c r="A10" s="7" t="s">
        <v>130</v>
      </c>
      <c r="B10" s="59">
        <v>46199</v>
      </c>
      <c r="C10" s="59">
        <v>46219</v>
      </c>
      <c r="D10" s="7">
        <v>89</v>
      </c>
      <c r="E10" s="62">
        <v>951205</v>
      </c>
      <c r="F10" s="66" t="s">
        <v>141</v>
      </c>
      <c r="G10" s="28"/>
      <c r="H10" s="7"/>
      <c r="I10" s="7"/>
      <c r="J10" s="7"/>
      <c r="K10" s="7"/>
      <c r="L10" s="7"/>
      <c r="M10" s="9"/>
      <c r="N10" s="428">
        <v>4900</v>
      </c>
      <c r="O10" s="45"/>
      <c r="P10" s="9" t="s">
        <v>137</v>
      </c>
      <c r="Q10" s="22"/>
      <c r="R10" s="22"/>
    </row>
    <row r="11" spans="1:19">
      <c r="A11" s="7" t="s">
        <v>71</v>
      </c>
      <c r="B11" s="59">
        <v>46199</v>
      </c>
      <c r="C11" s="59">
        <v>46219</v>
      </c>
      <c r="D11" s="7">
        <v>89</v>
      </c>
      <c r="E11" s="429" t="s">
        <v>142</v>
      </c>
      <c r="F11" s="66" t="s">
        <v>143</v>
      </c>
      <c r="G11" s="28"/>
      <c r="H11" s="7"/>
      <c r="I11" s="7"/>
      <c r="J11" s="7"/>
      <c r="K11" s="7"/>
      <c r="L11" s="7"/>
      <c r="M11" s="2" t="s">
        <v>144</v>
      </c>
      <c r="N11" s="67">
        <v>0.25</v>
      </c>
      <c r="O11" s="45"/>
      <c r="P11" s="9" t="s">
        <v>137</v>
      </c>
      <c r="Q11" s="22"/>
      <c r="R11" s="22"/>
    </row>
    <row r="12" spans="1:19">
      <c r="A12" s="430"/>
      <c r="B12" s="667" t="s">
        <v>145</v>
      </c>
      <c r="C12" s="668"/>
      <c r="D12" s="431"/>
      <c r="E12" s="432" t="s">
        <v>146</v>
      </c>
      <c r="F12" s="433" t="s">
        <v>147</v>
      </c>
      <c r="G12" s="434"/>
      <c r="H12" s="430"/>
      <c r="I12" s="430"/>
      <c r="J12" s="430"/>
      <c r="K12" s="430"/>
      <c r="L12" s="430"/>
      <c r="M12" s="435"/>
      <c r="N12" s="436">
        <v>0.2</v>
      </c>
      <c r="O12" s="436">
        <v>0.3</v>
      </c>
      <c r="P12" s="437"/>
      <c r="Q12" s="22"/>
      <c r="R12" s="22"/>
    </row>
    <row r="13" spans="1:19">
      <c r="A13" s="669" t="s">
        <v>148</v>
      </c>
      <c r="B13" s="670"/>
      <c r="C13" s="670"/>
      <c r="D13" s="670"/>
      <c r="E13" s="670"/>
      <c r="F13" s="671"/>
      <c r="G13" s="670"/>
      <c r="H13" s="670"/>
      <c r="I13" s="670"/>
      <c r="J13" s="670"/>
      <c r="K13" s="671"/>
      <c r="L13" s="671"/>
      <c r="M13" s="671"/>
      <c r="N13" s="671"/>
      <c r="O13" s="672"/>
      <c r="P13" s="88"/>
      <c r="Q13" s="22"/>
      <c r="R13" s="22"/>
    </row>
    <row r="14" spans="1:19">
      <c r="A14" s="652"/>
      <c r="B14" s="59">
        <v>46200</v>
      </c>
      <c r="C14" s="59">
        <v>46201</v>
      </c>
      <c r="D14" s="70">
        <v>38</v>
      </c>
      <c r="E14" s="404"/>
      <c r="F14" s="637" t="s">
        <v>149</v>
      </c>
      <c r="G14" s="405"/>
      <c r="H14" s="7"/>
      <c r="I14" s="7"/>
      <c r="J14" s="74"/>
      <c r="K14" s="73" t="s">
        <v>150</v>
      </c>
      <c r="L14" s="81"/>
      <c r="M14" s="83"/>
      <c r="N14" s="453">
        <v>0.3</v>
      </c>
      <c r="O14" s="470">
        <v>0.1</v>
      </c>
      <c r="P14" s="674" t="s">
        <v>151</v>
      </c>
      <c r="Q14" s="22"/>
      <c r="R14" s="22"/>
    </row>
    <row r="15" spans="1:19">
      <c r="A15" s="653"/>
      <c r="B15" s="59">
        <v>46200</v>
      </c>
      <c r="C15" s="59">
        <v>46201</v>
      </c>
      <c r="D15" s="70">
        <v>87</v>
      </c>
      <c r="E15" s="404"/>
      <c r="F15" s="637"/>
      <c r="G15" s="405"/>
      <c r="H15" s="7"/>
      <c r="I15" s="86">
        <v>5515</v>
      </c>
      <c r="J15" s="441"/>
      <c r="K15" s="91">
        <v>89</v>
      </c>
      <c r="L15" s="94"/>
      <c r="M15" s="95"/>
      <c r="N15" s="454">
        <v>0.3</v>
      </c>
      <c r="O15" s="480">
        <v>0.1</v>
      </c>
      <c r="P15" s="675"/>
      <c r="Q15" s="22"/>
      <c r="R15" s="22"/>
    </row>
    <row r="16" spans="1:19">
      <c r="A16" s="653"/>
      <c r="B16" s="59">
        <v>46200</v>
      </c>
      <c r="C16" s="59">
        <v>46201</v>
      </c>
      <c r="D16" s="70">
        <v>38</v>
      </c>
      <c r="E16" s="404"/>
      <c r="F16" s="636" t="s">
        <v>152</v>
      </c>
      <c r="G16" s="405"/>
      <c r="H16" s="74"/>
      <c r="I16" s="73" t="s">
        <v>153</v>
      </c>
      <c r="J16" s="81"/>
      <c r="K16" s="73" t="s">
        <v>54</v>
      </c>
      <c r="L16" s="81"/>
      <c r="M16" s="82"/>
      <c r="N16" s="642" t="s">
        <v>154</v>
      </c>
      <c r="O16" s="644"/>
      <c r="P16" s="647" t="s">
        <v>155</v>
      </c>
      <c r="Q16" s="22"/>
      <c r="R16" s="22"/>
    </row>
    <row r="17" spans="1:18">
      <c r="A17" s="653"/>
      <c r="B17" s="59">
        <v>46200</v>
      </c>
      <c r="C17" s="59">
        <v>46201</v>
      </c>
      <c r="D17" s="71">
        <v>87</v>
      </c>
      <c r="E17" s="404"/>
      <c r="F17" s="637"/>
      <c r="G17" s="405"/>
      <c r="H17" s="74"/>
      <c r="I17" s="73" t="s">
        <v>156</v>
      </c>
      <c r="J17" s="81"/>
      <c r="K17" s="73" t="s">
        <v>54</v>
      </c>
      <c r="L17" s="81"/>
      <c r="M17" s="83"/>
      <c r="N17" s="644"/>
      <c r="O17" s="644"/>
      <c r="P17" s="647"/>
      <c r="Q17" s="22"/>
      <c r="R17" s="22"/>
    </row>
    <row r="18" spans="1:18">
      <c r="A18" s="653"/>
      <c r="B18" s="424">
        <v>46200</v>
      </c>
      <c r="C18" s="424">
        <v>46201</v>
      </c>
      <c r="D18" s="72">
        <v>87</v>
      </c>
      <c r="E18" s="508"/>
      <c r="F18" s="658"/>
      <c r="G18" s="509"/>
      <c r="H18" s="441"/>
      <c r="I18" s="94"/>
      <c r="J18" s="94"/>
      <c r="K18" s="91">
        <v>85</v>
      </c>
      <c r="L18" s="94"/>
      <c r="M18" s="95"/>
      <c r="N18" s="645"/>
      <c r="O18" s="645"/>
      <c r="P18" s="648"/>
      <c r="Q18" s="22"/>
      <c r="R18" s="22"/>
    </row>
    <row r="19" spans="1:18">
      <c r="A19" s="656" t="s">
        <v>71</v>
      </c>
      <c r="B19" s="482">
        <v>46203</v>
      </c>
      <c r="C19" s="482">
        <v>46206</v>
      </c>
      <c r="D19" s="483">
        <v>87</v>
      </c>
      <c r="E19" s="484"/>
      <c r="F19" s="678" t="s">
        <v>157</v>
      </c>
      <c r="G19" s="501"/>
      <c r="H19" s="502"/>
      <c r="I19" s="463">
        <v>5515</v>
      </c>
      <c r="J19" s="463"/>
      <c r="K19" s="503">
        <v>86</v>
      </c>
      <c r="L19" s="463"/>
      <c r="M19" s="468"/>
      <c r="N19" s="504">
        <v>0.3</v>
      </c>
      <c r="O19" s="470">
        <v>0.1</v>
      </c>
      <c r="P19" s="676" t="s">
        <v>158</v>
      </c>
      <c r="Q19" s="22"/>
      <c r="R19" s="22"/>
    </row>
    <row r="20" spans="1:18">
      <c r="A20" s="657"/>
      <c r="B20" s="490">
        <v>46203</v>
      </c>
      <c r="C20" s="490">
        <v>46206</v>
      </c>
      <c r="D20" s="491">
        <v>38</v>
      </c>
      <c r="E20" s="505"/>
      <c r="F20" s="679"/>
      <c r="G20" s="506"/>
      <c r="H20" s="507"/>
      <c r="I20" s="475"/>
      <c r="J20" s="475"/>
      <c r="K20" s="475">
        <v>63</v>
      </c>
      <c r="L20" s="475"/>
      <c r="M20" s="478"/>
      <c r="N20" s="495">
        <v>0.3</v>
      </c>
      <c r="O20" s="480">
        <v>0.1</v>
      </c>
      <c r="P20" s="677"/>
      <c r="Q20" s="22"/>
      <c r="R20" s="22"/>
    </row>
    <row r="21" spans="1:18">
      <c r="A21" s="653"/>
      <c r="B21" s="510">
        <v>46207</v>
      </c>
      <c r="C21" s="510">
        <v>46208</v>
      </c>
      <c r="D21" s="70">
        <v>38</v>
      </c>
      <c r="E21" s="511"/>
      <c r="F21" s="636" t="s">
        <v>152</v>
      </c>
      <c r="G21" s="189"/>
      <c r="H21" s="194"/>
      <c r="I21" s="455" t="s">
        <v>153</v>
      </c>
      <c r="J21" s="141"/>
      <c r="K21" s="512" t="s">
        <v>54</v>
      </c>
      <c r="L21" s="141"/>
      <c r="M21" s="459"/>
      <c r="N21" s="659" t="s">
        <v>154</v>
      </c>
      <c r="O21" s="660"/>
      <c r="P21" s="661" t="s">
        <v>155</v>
      </c>
      <c r="Q21" s="22"/>
      <c r="R21" s="22"/>
    </row>
    <row r="22" spans="1:18">
      <c r="A22" s="653"/>
      <c r="B22" s="30">
        <v>46207</v>
      </c>
      <c r="C22" s="30">
        <v>46208</v>
      </c>
      <c r="D22" s="71">
        <v>87</v>
      </c>
      <c r="E22" s="29"/>
      <c r="F22" s="637"/>
      <c r="G22" s="28"/>
      <c r="H22" s="441"/>
      <c r="I22" s="91" t="s">
        <v>156</v>
      </c>
      <c r="J22" s="94"/>
      <c r="K22" s="458" t="s">
        <v>54</v>
      </c>
      <c r="L22" s="81"/>
      <c r="M22" s="83"/>
      <c r="N22" s="644"/>
      <c r="O22" s="644"/>
      <c r="P22" s="647"/>
      <c r="Q22" s="37"/>
      <c r="R22" s="22"/>
    </row>
    <row r="23" spans="1:18">
      <c r="A23" s="653"/>
      <c r="B23" s="84">
        <v>46207</v>
      </c>
      <c r="C23" s="84">
        <v>46208</v>
      </c>
      <c r="D23" s="72">
        <v>87</v>
      </c>
      <c r="E23" s="85"/>
      <c r="F23" s="658"/>
      <c r="G23" s="496"/>
      <c r="H23" s="94"/>
      <c r="I23" s="94"/>
      <c r="J23" s="94"/>
      <c r="K23" s="458">
        <v>85</v>
      </c>
      <c r="L23" s="94"/>
      <c r="M23" s="95"/>
      <c r="N23" s="645"/>
      <c r="O23" s="645"/>
      <c r="P23" s="648"/>
      <c r="Q23" s="22"/>
      <c r="R23" s="22"/>
    </row>
    <row r="24" spans="1:18">
      <c r="A24" s="656" t="s">
        <v>71</v>
      </c>
      <c r="B24" s="481">
        <v>46209</v>
      </c>
      <c r="C24" s="482">
        <v>46213</v>
      </c>
      <c r="D24" s="483">
        <v>87</v>
      </c>
      <c r="E24" s="484"/>
      <c r="F24" s="632" t="s">
        <v>159</v>
      </c>
      <c r="G24" s="485"/>
      <c r="H24" s="463"/>
      <c r="I24" s="486">
        <v>5515</v>
      </c>
      <c r="J24" s="486"/>
      <c r="K24" s="487" t="s">
        <v>160</v>
      </c>
      <c r="L24" s="486"/>
      <c r="M24" s="488"/>
      <c r="N24" s="489">
        <v>0.3</v>
      </c>
      <c r="O24" s="470">
        <v>0.1</v>
      </c>
      <c r="P24" s="634" t="s">
        <v>161</v>
      </c>
      <c r="Q24" s="22"/>
      <c r="R24" s="22"/>
    </row>
    <row r="25" spans="1:18">
      <c r="A25" s="657"/>
      <c r="B25" s="490">
        <v>46209</v>
      </c>
      <c r="C25" s="490">
        <v>46213</v>
      </c>
      <c r="D25" s="491">
        <v>38</v>
      </c>
      <c r="E25" s="492"/>
      <c r="F25" s="633"/>
      <c r="G25" s="493"/>
      <c r="H25" s="476"/>
      <c r="I25" s="476"/>
      <c r="J25" s="475"/>
      <c r="K25" s="475" t="s">
        <v>162</v>
      </c>
      <c r="L25" s="475"/>
      <c r="M25" s="494"/>
      <c r="N25" s="495">
        <v>0.3</v>
      </c>
      <c r="O25" s="480">
        <v>0.1</v>
      </c>
      <c r="P25" s="635"/>
      <c r="Q25" s="22"/>
      <c r="R25" s="22"/>
    </row>
    <row r="26" spans="1:18">
      <c r="A26" s="640" t="s">
        <v>71</v>
      </c>
      <c r="B26" s="140">
        <v>46214</v>
      </c>
      <c r="C26" s="497">
        <v>46215</v>
      </c>
      <c r="D26" s="70">
        <v>38</v>
      </c>
      <c r="E26" s="498"/>
      <c r="F26" s="636" t="s">
        <v>149</v>
      </c>
      <c r="G26" s="499"/>
      <c r="H26" s="194"/>
      <c r="I26" s="456"/>
      <c r="J26" s="141"/>
      <c r="K26" s="455" t="s">
        <v>150</v>
      </c>
      <c r="L26" s="141"/>
      <c r="M26" s="142"/>
      <c r="N26" s="500">
        <v>0.3</v>
      </c>
      <c r="O26" s="470">
        <v>0.1</v>
      </c>
      <c r="P26" s="638" t="s">
        <v>151</v>
      </c>
      <c r="Q26" s="22"/>
      <c r="R26" s="22"/>
    </row>
    <row r="27" spans="1:18">
      <c r="A27" s="640"/>
      <c r="B27" s="78">
        <v>46214</v>
      </c>
      <c r="C27" s="84">
        <v>46215</v>
      </c>
      <c r="D27" s="70">
        <v>87</v>
      </c>
      <c r="E27" s="404"/>
      <c r="F27" s="637"/>
      <c r="G27" s="405"/>
      <c r="H27" s="74"/>
      <c r="I27" s="97">
        <v>5515</v>
      </c>
      <c r="J27" s="81"/>
      <c r="K27" s="73">
        <v>89</v>
      </c>
      <c r="L27" s="81"/>
      <c r="M27" s="83"/>
      <c r="N27" s="453">
        <v>0.3</v>
      </c>
      <c r="O27" s="480">
        <v>0.1</v>
      </c>
      <c r="P27" s="639"/>
      <c r="Q27" s="22"/>
      <c r="R27" s="22"/>
    </row>
    <row r="28" spans="1:18">
      <c r="A28" s="640"/>
      <c r="B28" s="78">
        <v>46214</v>
      </c>
      <c r="C28" s="96">
        <v>46215</v>
      </c>
      <c r="D28" s="73">
        <v>38</v>
      </c>
      <c r="E28" s="79"/>
      <c r="F28" s="637" t="s">
        <v>152</v>
      </c>
      <c r="G28" s="80"/>
      <c r="H28" s="456"/>
      <c r="I28" s="457" t="s">
        <v>153</v>
      </c>
      <c r="J28" s="81"/>
      <c r="K28" s="73" t="s">
        <v>54</v>
      </c>
      <c r="L28" s="81"/>
      <c r="M28" s="82"/>
      <c r="N28" s="642" t="s">
        <v>154</v>
      </c>
      <c r="O28" s="643"/>
      <c r="P28" s="647" t="s">
        <v>155</v>
      </c>
    </row>
    <row r="29" spans="1:18">
      <c r="A29" s="640"/>
      <c r="B29" s="140">
        <v>46214</v>
      </c>
      <c r="C29" s="78">
        <v>46215</v>
      </c>
      <c r="D29" s="73">
        <v>87</v>
      </c>
      <c r="E29" s="79"/>
      <c r="F29" s="637"/>
      <c r="G29" s="80"/>
      <c r="H29" s="97"/>
      <c r="I29" s="457" t="s">
        <v>156</v>
      </c>
      <c r="J29" s="81"/>
      <c r="K29" s="73" t="s">
        <v>54</v>
      </c>
      <c r="L29" s="81"/>
      <c r="M29" s="83"/>
      <c r="N29" s="644"/>
      <c r="O29" s="643"/>
      <c r="P29" s="647"/>
    </row>
    <row r="30" spans="1:18">
      <c r="A30" s="641"/>
      <c r="B30" s="138">
        <v>46214</v>
      </c>
      <c r="C30" s="138">
        <v>46215</v>
      </c>
      <c r="D30" s="91">
        <v>87</v>
      </c>
      <c r="E30" s="92"/>
      <c r="F30" s="658"/>
      <c r="G30" s="93"/>
      <c r="H30" s="94"/>
      <c r="I30" s="460"/>
      <c r="J30" s="94"/>
      <c r="K30" s="91">
        <v>85</v>
      </c>
      <c r="L30" s="94"/>
      <c r="M30" s="95"/>
      <c r="N30" s="645"/>
      <c r="O30" s="646"/>
      <c r="P30" s="648"/>
    </row>
    <row r="31" spans="1:18" ht="15.75" customHeight="1">
      <c r="A31" s="654" t="s">
        <v>71</v>
      </c>
      <c r="B31" s="461">
        <v>46216</v>
      </c>
      <c r="C31" s="462">
        <v>46219</v>
      </c>
      <c r="D31" s="463">
        <v>38</v>
      </c>
      <c r="E31" s="464"/>
      <c r="F31" s="680" t="s">
        <v>163</v>
      </c>
      <c r="G31" s="463"/>
      <c r="H31" s="463"/>
      <c r="I31" s="463"/>
      <c r="J31" s="465"/>
      <c r="K31" s="466">
        <v>72</v>
      </c>
      <c r="L31" s="467"/>
      <c r="M31" s="468"/>
      <c r="N31" s="469">
        <v>0.3</v>
      </c>
      <c r="O31" s="470">
        <v>0.1</v>
      </c>
      <c r="P31" s="682" t="s">
        <v>164</v>
      </c>
    </row>
    <row r="32" spans="1:18" ht="15.75" customHeight="1">
      <c r="A32" s="655"/>
      <c r="B32" s="471">
        <v>46216</v>
      </c>
      <c r="C32" s="472">
        <v>46219</v>
      </c>
      <c r="D32" s="473">
        <v>87</v>
      </c>
      <c r="E32" s="474"/>
      <c r="F32" s="681"/>
      <c r="G32" s="475"/>
      <c r="H32" s="475"/>
      <c r="I32" s="475">
        <v>5520</v>
      </c>
      <c r="J32" s="476"/>
      <c r="K32" s="473" t="s">
        <v>165</v>
      </c>
      <c r="L32" s="477"/>
      <c r="M32" s="478"/>
      <c r="N32" s="479">
        <v>0.3</v>
      </c>
      <c r="O32" s="480">
        <v>0.1</v>
      </c>
      <c r="P32" s="683"/>
    </row>
    <row r="33" spans="1:16">
      <c r="A33" s="684" t="s">
        <v>166</v>
      </c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685"/>
      <c r="N33" s="685"/>
      <c r="O33" s="686"/>
      <c r="P33" s="105"/>
    </row>
    <row r="34" spans="1:16">
      <c r="A34" s="171"/>
      <c r="B34" s="687" t="s">
        <v>167</v>
      </c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131"/>
    </row>
    <row r="35" spans="1:16" ht="15">
      <c r="A35" s="649" t="s">
        <v>71</v>
      </c>
      <c r="B35" s="132">
        <v>46203</v>
      </c>
      <c r="C35" s="107">
        <v>46206</v>
      </c>
      <c r="D35" s="81">
        <v>86</v>
      </c>
      <c r="E35" s="106">
        <v>211363</v>
      </c>
      <c r="F35" s="106" t="s">
        <v>168</v>
      </c>
      <c r="G35" s="81"/>
      <c r="H35" s="81"/>
      <c r="I35" s="81"/>
      <c r="J35" s="81"/>
      <c r="K35" s="688" t="s">
        <v>169</v>
      </c>
      <c r="L35" s="81"/>
      <c r="M35" s="83"/>
      <c r="N35" s="90"/>
      <c r="O35" s="109"/>
      <c r="P35" s="108"/>
    </row>
    <row r="36" spans="1:16" ht="15.75" customHeight="1">
      <c r="A36" s="651"/>
      <c r="B36" s="132">
        <v>46203</v>
      </c>
      <c r="C36" s="107">
        <v>46206</v>
      </c>
      <c r="D36" s="81">
        <v>86</v>
      </c>
      <c r="E36" s="106">
        <v>198990</v>
      </c>
      <c r="F36" s="106" t="s">
        <v>170</v>
      </c>
      <c r="G36" s="81"/>
      <c r="H36" s="81"/>
      <c r="I36" s="81"/>
      <c r="J36" s="81"/>
      <c r="K36" s="688"/>
      <c r="L36" s="81"/>
      <c r="M36" s="83"/>
      <c r="N36" s="90"/>
      <c r="O36" s="109"/>
      <c r="P36" s="108"/>
    </row>
    <row r="37" spans="1:16" ht="15.75" customHeight="1">
      <c r="A37" s="651"/>
      <c r="B37" s="132">
        <v>46203</v>
      </c>
      <c r="C37" s="107">
        <v>46206</v>
      </c>
      <c r="D37" s="81">
        <v>86</v>
      </c>
      <c r="E37" s="106">
        <v>621017</v>
      </c>
      <c r="F37" s="106" t="s">
        <v>171</v>
      </c>
      <c r="G37" s="81"/>
      <c r="H37" s="81"/>
      <c r="I37" s="81"/>
      <c r="J37" s="81"/>
      <c r="K37" s="688"/>
      <c r="L37" s="81"/>
      <c r="M37" s="83"/>
      <c r="N37" s="90"/>
      <c r="O37" s="109"/>
      <c r="P37" s="108"/>
    </row>
    <row r="38" spans="1:16" ht="15.75" customHeight="1">
      <c r="A38" s="651"/>
      <c r="B38" s="132">
        <v>46203</v>
      </c>
      <c r="C38" s="107">
        <v>46206</v>
      </c>
      <c r="D38" s="81">
        <v>86</v>
      </c>
      <c r="E38" s="106">
        <v>1552645</v>
      </c>
      <c r="F38" s="106" t="s">
        <v>172</v>
      </c>
      <c r="G38" s="81"/>
      <c r="H38" s="81"/>
      <c r="I38" s="81"/>
      <c r="J38" s="81"/>
      <c r="K38" s="688"/>
      <c r="L38" s="81"/>
      <c r="M38" s="83"/>
      <c r="N38" s="90"/>
      <c r="O38" s="109"/>
      <c r="P38" s="108"/>
    </row>
    <row r="39" spans="1:16" ht="15.75" customHeight="1">
      <c r="A39" s="651"/>
      <c r="B39" s="132">
        <v>46203</v>
      </c>
      <c r="C39" s="107">
        <v>46206</v>
      </c>
      <c r="D39" s="81">
        <v>86</v>
      </c>
      <c r="E39" s="106">
        <v>1437077</v>
      </c>
      <c r="F39" s="106" t="s">
        <v>173</v>
      </c>
      <c r="G39" s="81"/>
      <c r="H39" s="81"/>
      <c r="I39" s="81"/>
      <c r="J39" s="81"/>
      <c r="K39" s="688"/>
      <c r="L39" s="81"/>
      <c r="M39" s="83"/>
      <c r="N39" s="90"/>
      <c r="O39" s="109"/>
      <c r="P39" s="108"/>
    </row>
    <row r="40" spans="1:16" ht="15.75" customHeight="1">
      <c r="A40" s="651"/>
      <c r="B40" s="132">
        <v>46203</v>
      </c>
      <c r="C40" s="107">
        <v>46206</v>
      </c>
      <c r="D40" s="81">
        <v>86</v>
      </c>
      <c r="E40" s="106">
        <v>199800</v>
      </c>
      <c r="F40" s="106" t="s">
        <v>174</v>
      </c>
      <c r="G40" s="81"/>
      <c r="H40" s="81"/>
      <c r="I40" s="81"/>
      <c r="J40" s="81"/>
      <c r="K40" s="688"/>
      <c r="L40" s="81"/>
      <c r="M40" s="83"/>
      <c r="N40" s="90"/>
      <c r="O40" s="109"/>
      <c r="P40" s="108"/>
    </row>
    <row r="41" spans="1:16" ht="15.75" customHeight="1">
      <c r="A41" s="651"/>
      <c r="B41" s="132">
        <v>46203</v>
      </c>
      <c r="C41" s="107">
        <v>46206</v>
      </c>
      <c r="D41" s="81">
        <v>86</v>
      </c>
      <c r="E41" s="106">
        <v>223357</v>
      </c>
      <c r="F41" s="113" t="s">
        <v>175</v>
      </c>
      <c r="G41" s="94"/>
      <c r="H41" s="94"/>
      <c r="I41" s="94"/>
      <c r="J41" s="94"/>
      <c r="K41" s="689"/>
      <c r="L41" s="94"/>
      <c r="M41" s="95"/>
      <c r="N41" s="114"/>
      <c r="O41" s="115"/>
      <c r="P41" s="116"/>
    </row>
    <row r="42" spans="1:16" ht="15">
      <c r="A42" s="651"/>
      <c r="B42" s="132">
        <v>46203</v>
      </c>
      <c r="C42" s="107">
        <v>46206</v>
      </c>
      <c r="D42" s="81">
        <v>86</v>
      </c>
      <c r="E42" s="111">
        <v>23403</v>
      </c>
      <c r="F42" s="110" t="s">
        <v>176</v>
      </c>
      <c r="G42" s="81"/>
      <c r="H42" s="81"/>
      <c r="I42" s="81"/>
      <c r="J42" s="97"/>
      <c r="K42" s="688" t="s">
        <v>177</v>
      </c>
      <c r="L42" s="99"/>
      <c r="M42" s="83"/>
      <c r="N42" s="90"/>
      <c r="O42" s="90"/>
      <c r="P42" s="639" t="s">
        <v>178</v>
      </c>
    </row>
    <row r="43" spans="1:16" ht="15.75" customHeight="1">
      <c r="A43" s="651"/>
      <c r="B43" s="132">
        <v>46203</v>
      </c>
      <c r="C43" s="107">
        <v>46206</v>
      </c>
      <c r="D43" s="81">
        <v>86</v>
      </c>
      <c r="E43" s="112">
        <v>875493</v>
      </c>
      <c r="F43" s="110" t="s">
        <v>179</v>
      </c>
      <c r="G43" s="81"/>
      <c r="H43" s="81"/>
      <c r="I43" s="81"/>
      <c r="J43" s="97"/>
      <c r="K43" s="688"/>
      <c r="L43" s="99"/>
      <c r="M43" s="83"/>
      <c r="N43" s="90"/>
      <c r="O43" s="90"/>
      <c r="P43" s="639"/>
    </row>
    <row r="44" spans="1:16" ht="15.75" customHeight="1">
      <c r="A44" s="651"/>
      <c r="B44" s="132">
        <v>46203</v>
      </c>
      <c r="C44" s="107">
        <v>46206</v>
      </c>
      <c r="D44" s="81">
        <v>86</v>
      </c>
      <c r="E44" s="112">
        <v>262747</v>
      </c>
      <c r="F44" s="110" t="s">
        <v>180</v>
      </c>
      <c r="G44" s="81"/>
      <c r="H44" s="81"/>
      <c r="I44" s="81"/>
      <c r="J44" s="97"/>
      <c r="K44" s="688"/>
      <c r="L44" s="99"/>
      <c r="M44" s="83"/>
      <c r="N44" s="90"/>
      <c r="O44" s="90"/>
      <c r="P44" s="639"/>
    </row>
    <row r="45" spans="1:16" ht="15.75" customHeight="1">
      <c r="A45" s="651"/>
      <c r="B45" s="132">
        <v>46203</v>
      </c>
      <c r="C45" s="107">
        <v>46206</v>
      </c>
      <c r="D45" s="81">
        <v>86</v>
      </c>
      <c r="E45" s="112">
        <v>875390</v>
      </c>
      <c r="F45" s="110" t="s">
        <v>181</v>
      </c>
      <c r="G45" s="81"/>
      <c r="H45" s="81"/>
      <c r="I45" s="81"/>
      <c r="J45" s="97"/>
      <c r="K45" s="688"/>
      <c r="L45" s="99"/>
      <c r="M45" s="83"/>
      <c r="N45" s="90"/>
      <c r="O45" s="90"/>
      <c r="P45" s="639"/>
    </row>
    <row r="46" spans="1:16" ht="15.75" customHeight="1">
      <c r="A46" s="651"/>
      <c r="B46" s="132">
        <v>46203</v>
      </c>
      <c r="C46" s="107">
        <v>46206</v>
      </c>
      <c r="D46" s="81">
        <v>86</v>
      </c>
      <c r="E46" s="112">
        <v>1639613</v>
      </c>
      <c r="F46" s="110" t="s">
        <v>182</v>
      </c>
      <c r="G46" s="81"/>
      <c r="H46" s="81"/>
      <c r="I46" s="81"/>
      <c r="J46" s="97"/>
      <c r="K46" s="688"/>
      <c r="L46" s="99"/>
      <c r="M46" s="83"/>
      <c r="N46" s="90"/>
      <c r="O46" s="90"/>
      <c r="P46" s="639"/>
    </row>
    <row r="47" spans="1:16" ht="15.75" customHeight="1">
      <c r="A47" s="651"/>
      <c r="B47" s="132">
        <v>46203</v>
      </c>
      <c r="C47" s="107">
        <v>46206</v>
      </c>
      <c r="D47" s="81">
        <v>86</v>
      </c>
      <c r="E47" s="112">
        <v>427904</v>
      </c>
      <c r="F47" s="110" t="s">
        <v>183</v>
      </c>
      <c r="G47" s="81"/>
      <c r="H47" s="81"/>
      <c r="I47" s="81"/>
      <c r="J47" s="97"/>
      <c r="K47" s="688"/>
      <c r="L47" s="99"/>
      <c r="M47" s="83"/>
      <c r="N47" s="90"/>
      <c r="O47" s="90"/>
      <c r="P47" s="639"/>
    </row>
    <row r="48" spans="1:16" ht="15.75" customHeight="1">
      <c r="A48" s="651"/>
      <c r="B48" s="132">
        <v>46203</v>
      </c>
      <c r="C48" s="107">
        <v>46206</v>
      </c>
      <c r="D48" s="81">
        <v>86</v>
      </c>
      <c r="E48" s="112">
        <v>241197</v>
      </c>
      <c r="F48" s="110" t="s">
        <v>184</v>
      </c>
      <c r="G48" s="81"/>
      <c r="H48" s="81"/>
      <c r="I48" s="81"/>
      <c r="J48" s="97"/>
      <c r="K48" s="688"/>
      <c r="L48" s="99"/>
      <c r="M48" s="83"/>
      <c r="N48" s="90"/>
      <c r="O48" s="90"/>
      <c r="P48" s="639"/>
    </row>
    <row r="49" spans="1:16" ht="15.75" customHeight="1">
      <c r="A49" s="651"/>
      <c r="B49" s="132">
        <v>46203</v>
      </c>
      <c r="C49" s="107">
        <v>46206</v>
      </c>
      <c r="D49" s="81">
        <v>86</v>
      </c>
      <c r="E49" s="112">
        <v>1436767</v>
      </c>
      <c r="F49" s="110" t="s">
        <v>185</v>
      </c>
      <c r="G49" s="81"/>
      <c r="H49" s="81"/>
      <c r="I49" s="81"/>
      <c r="J49" s="97"/>
      <c r="K49" s="688"/>
      <c r="L49" s="99"/>
      <c r="M49" s="83"/>
      <c r="N49" s="90"/>
      <c r="O49" s="90"/>
      <c r="P49" s="639"/>
    </row>
    <row r="50" spans="1:16" ht="15.75" customHeight="1">
      <c r="A50" s="651"/>
      <c r="B50" s="132">
        <v>46203</v>
      </c>
      <c r="C50" s="107">
        <v>46206</v>
      </c>
      <c r="D50" s="81">
        <v>86</v>
      </c>
      <c r="E50" s="112">
        <v>959645</v>
      </c>
      <c r="F50" s="110" t="s">
        <v>186</v>
      </c>
      <c r="G50" s="81"/>
      <c r="H50" s="81"/>
      <c r="I50" s="81"/>
      <c r="J50" s="97"/>
      <c r="K50" s="688"/>
      <c r="L50" s="99"/>
      <c r="M50" s="83"/>
      <c r="N50" s="90"/>
      <c r="O50" s="90"/>
      <c r="P50" s="639"/>
    </row>
    <row r="51" spans="1:16" ht="15.75" customHeight="1">
      <c r="A51" s="651"/>
      <c r="B51" s="132">
        <v>46203</v>
      </c>
      <c r="C51" s="107">
        <v>46206</v>
      </c>
      <c r="D51" s="81">
        <v>86</v>
      </c>
      <c r="E51" s="112">
        <v>553627</v>
      </c>
      <c r="F51" s="110" t="s">
        <v>187</v>
      </c>
      <c r="G51" s="81"/>
      <c r="H51" s="81"/>
      <c r="I51" s="81"/>
      <c r="J51" s="97"/>
      <c r="K51" s="688"/>
      <c r="L51" s="99"/>
      <c r="M51" s="83"/>
      <c r="N51" s="90"/>
      <c r="O51" s="90"/>
      <c r="P51" s="639"/>
    </row>
    <row r="52" spans="1:16" ht="15.75" customHeight="1">
      <c r="A52" s="651"/>
      <c r="B52" s="132">
        <v>46203</v>
      </c>
      <c r="C52" s="107">
        <v>46206</v>
      </c>
      <c r="D52" s="81">
        <v>86</v>
      </c>
      <c r="E52" s="112">
        <v>750549</v>
      </c>
      <c r="F52" s="110" t="s">
        <v>188</v>
      </c>
      <c r="G52" s="81"/>
      <c r="H52" s="81"/>
      <c r="I52" s="81"/>
      <c r="J52" s="97"/>
      <c r="K52" s="688"/>
      <c r="L52" s="99"/>
      <c r="M52" s="83"/>
      <c r="N52" s="90"/>
      <c r="O52" s="90"/>
      <c r="P52" s="639"/>
    </row>
    <row r="53" spans="1:16" ht="15.75" customHeight="1">
      <c r="A53" s="651"/>
      <c r="B53" s="132">
        <v>46203</v>
      </c>
      <c r="C53" s="107">
        <v>46206</v>
      </c>
      <c r="D53" s="81">
        <v>86</v>
      </c>
      <c r="E53" s="112">
        <v>641488</v>
      </c>
      <c r="F53" s="110" t="s">
        <v>189</v>
      </c>
      <c r="G53" s="81"/>
      <c r="H53" s="81"/>
      <c r="I53" s="81"/>
      <c r="J53" s="97"/>
      <c r="K53" s="688"/>
      <c r="L53" s="99"/>
      <c r="M53" s="83"/>
      <c r="N53" s="90"/>
      <c r="O53" s="90"/>
      <c r="P53" s="639"/>
    </row>
    <row r="54" spans="1:16" ht="15.75" customHeight="1">
      <c r="A54" s="651"/>
      <c r="B54" s="132">
        <v>46203</v>
      </c>
      <c r="C54" s="107">
        <v>46206</v>
      </c>
      <c r="D54" s="81">
        <v>86</v>
      </c>
      <c r="E54" s="112">
        <v>1623347</v>
      </c>
      <c r="F54" s="110" t="s">
        <v>190</v>
      </c>
      <c r="G54" s="81"/>
      <c r="H54" s="81"/>
      <c r="I54" s="81"/>
      <c r="J54" s="97"/>
      <c r="K54" s="688"/>
      <c r="L54" s="99"/>
      <c r="M54" s="83"/>
      <c r="N54" s="90"/>
      <c r="O54" s="90"/>
      <c r="P54" s="639"/>
    </row>
    <row r="55" spans="1:16" ht="15.75" customHeight="1">
      <c r="A55" s="651"/>
      <c r="B55" s="132">
        <v>46203</v>
      </c>
      <c r="C55" s="107">
        <v>46206</v>
      </c>
      <c r="D55" s="81">
        <v>86</v>
      </c>
      <c r="E55" s="112">
        <v>1580552</v>
      </c>
      <c r="F55" s="110" t="s">
        <v>191</v>
      </c>
      <c r="G55" s="81"/>
      <c r="H55" s="81"/>
      <c r="I55" s="81"/>
      <c r="J55" s="97"/>
      <c r="K55" s="688"/>
      <c r="L55" s="99"/>
      <c r="M55" s="83"/>
      <c r="N55" s="90"/>
      <c r="O55" s="90"/>
      <c r="P55" s="639"/>
    </row>
    <row r="56" spans="1:16" ht="15.75" customHeight="1">
      <c r="A56" s="651"/>
      <c r="B56" s="132">
        <v>46203</v>
      </c>
      <c r="C56" s="107">
        <v>46206</v>
      </c>
      <c r="D56" s="81">
        <v>86</v>
      </c>
      <c r="E56" s="112">
        <v>641546</v>
      </c>
      <c r="F56" s="110" t="s">
        <v>192</v>
      </c>
      <c r="G56" s="81"/>
      <c r="H56" s="81"/>
      <c r="I56" s="81"/>
      <c r="J56" s="97"/>
      <c r="K56" s="688"/>
      <c r="L56" s="99"/>
      <c r="M56" s="83"/>
      <c r="N56" s="90"/>
      <c r="O56" s="90"/>
      <c r="P56" s="639"/>
    </row>
    <row r="57" spans="1:16" ht="15.75" customHeight="1">
      <c r="A57" s="651"/>
      <c r="B57" s="132">
        <v>46203</v>
      </c>
      <c r="C57" s="107">
        <v>46206</v>
      </c>
      <c r="D57" s="81">
        <v>86</v>
      </c>
      <c r="E57" s="112">
        <v>747082</v>
      </c>
      <c r="F57" s="110" t="s">
        <v>193</v>
      </c>
      <c r="G57" s="81"/>
      <c r="H57" s="81"/>
      <c r="I57" s="81"/>
      <c r="J57" s="97"/>
      <c r="K57" s="688"/>
      <c r="L57" s="99"/>
      <c r="M57" s="83"/>
      <c r="N57" s="90"/>
      <c r="O57" s="90"/>
      <c r="P57" s="639"/>
    </row>
    <row r="58" spans="1:16" ht="15.75" customHeight="1">
      <c r="A58" s="651"/>
      <c r="B58" s="132">
        <v>46203</v>
      </c>
      <c r="C58" s="107">
        <v>46206</v>
      </c>
      <c r="D58" s="81">
        <v>86</v>
      </c>
      <c r="E58" s="112">
        <v>404762</v>
      </c>
      <c r="F58" s="110" t="s">
        <v>194</v>
      </c>
      <c r="G58" s="81"/>
      <c r="H58" s="81"/>
      <c r="I58" s="81"/>
      <c r="J58" s="97"/>
      <c r="K58" s="688"/>
      <c r="L58" s="99"/>
      <c r="M58" s="83"/>
      <c r="N58" s="90"/>
      <c r="O58" s="90"/>
      <c r="P58" s="639"/>
    </row>
    <row r="59" spans="1:16" ht="15.75" customHeight="1">
      <c r="A59" s="651"/>
      <c r="B59" s="132">
        <v>46203</v>
      </c>
      <c r="C59" s="107">
        <v>46206</v>
      </c>
      <c r="D59" s="81">
        <v>86</v>
      </c>
      <c r="E59" s="112">
        <v>3044507</v>
      </c>
      <c r="F59" s="110" t="s">
        <v>195</v>
      </c>
      <c r="G59" s="81"/>
      <c r="H59" s="81"/>
      <c r="I59" s="81"/>
      <c r="J59" s="97"/>
      <c r="K59" s="688"/>
      <c r="L59" s="99"/>
      <c r="M59" s="83"/>
      <c r="N59" s="90"/>
      <c r="O59" s="90"/>
      <c r="P59" s="639"/>
    </row>
    <row r="60" spans="1:16" ht="15.75" customHeight="1">
      <c r="A60" s="651"/>
      <c r="B60" s="132">
        <v>46203</v>
      </c>
      <c r="C60" s="107">
        <v>46206</v>
      </c>
      <c r="D60" s="81">
        <v>86</v>
      </c>
      <c r="E60" s="112">
        <v>3142048</v>
      </c>
      <c r="F60" s="110" t="s">
        <v>196</v>
      </c>
      <c r="G60" s="81"/>
      <c r="H60" s="81"/>
      <c r="I60" s="81"/>
      <c r="J60" s="97"/>
      <c r="K60" s="688"/>
      <c r="L60" s="99"/>
      <c r="M60" s="83"/>
      <c r="N60" s="90"/>
      <c r="O60" s="90"/>
      <c r="P60" s="639"/>
    </row>
    <row r="61" spans="1:16" ht="15.75" customHeight="1">
      <c r="A61" s="651"/>
      <c r="B61" s="132">
        <v>46203</v>
      </c>
      <c r="C61" s="107">
        <v>46206</v>
      </c>
      <c r="D61" s="81">
        <v>86</v>
      </c>
      <c r="E61" s="112">
        <v>3053138</v>
      </c>
      <c r="F61" s="110" t="s">
        <v>197</v>
      </c>
      <c r="G61" s="94"/>
      <c r="H61" s="94"/>
      <c r="I61" s="94"/>
      <c r="J61" s="98"/>
      <c r="K61" s="688"/>
      <c r="L61" s="100"/>
      <c r="M61" s="95"/>
      <c r="N61" s="114"/>
      <c r="O61" s="114"/>
      <c r="P61" s="674"/>
    </row>
    <row r="62" spans="1:16">
      <c r="A62" s="651"/>
      <c r="B62" s="132">
        <v>46203</v>
      </c>
      <c r="C62" s="107">
        <v>46206</v>
      </c>
      <c r="D62" s="81">
        <v>86</v>
      </c>
      <c r="E62" s="65">
        <v>197589</v>
      </c>
      <c r="F62" s="117" t="s">
        <v>198</v>
      </c>
      <c r="G62" s="81"/>
      <c r="H62" s="81"/>
      <c r="I62" s="81"/>
      <c r="J62" s="97"/>
      <c r="K62" s="690" t="s">
        <v>199</v>
      </c>
      <c r="L62" s="99"/>
      <c r="M62" s="83"/>
      <c r="N62" s="90"/>
      <c r="O62" s="90"/>
      <c r="P62" s="82"/>
    </row>
    <row r="63" spans="1:16">
      <c r="A63" s="651"/>
      <c r="B63" s="132">
        <v>46203</v>
      </c>
      <c r="C63" s="107">
        <v>46206</v>
      </c>
      <c r="D63" s="81">
        <v>86</v>
      </c>
      <c r="E63" s="66">
        <v>199812</v>
      </c>
      <c r="F63" s="118" t="s">
        <v>200</v>
      </c>
      <c r="G63" s="81"/>
      <c r="H63" s="81"/>
      <c r="I63" s="81"/>
      <c r="J63" s="97"/>
      <c r="K63" s="688"/>
      <c r="L63" s="99"/>
      <c r="M63" s="83"/>
      <c r="N63" s="90"/>
      <c r="O63" s="90"/>
      <c r="P63" s="82"/>
    </row>
    <row r="64" spans="1:16">
      <c r="A64" s="651"/>
      <c r="B64" s="132">
        <v>46203</v>
      </c>
      <c r="C64" s="107">
        <v>46206</v>
      </c>
      <c r="D64" s="81">
        <v>86</v>
      </c>
      <c r="E64" s="66">
        <v>733557</v>
      </c>
      <c r="F64" s="118" t="s">
        <v>201</v>
      </c>
      <c r="G64" s="81"/>
      <c r="H64" s="81"/>
      <c r="I64" s="81"/>
      <c r="J64" s="97"/>
      <c r="K64" s="688"/>
      <c r="L64" s="99"/>
      <c r="M64" s="83"/>
      <c r="N64" s="90"/>
      <c r="O64" s="90"/>
      <c r="P64" s="82"/>
    </row>
    <row r="65" spans="1:16">
      <c r="A65" s="651"/>
      <c r="B65" s="132">
        <v>46203</v>
      </c>
      <c r="C65" s="107">
        <v>46206</v>
      </c>
      <c r="D65" s="81">
        <v>86</v>
      </c>
      <c r="E65" s="66">
        <v>824446</v>
      </c>
      <c r="F65" s="118" t="s">
        <v>202</v>
      </c>
      <c r="G65" s="81"/>
      <c r="H65" s="81"/>
      <c r="I65" s="81"/>
      <c r="J65" s="97"/>
      <c r="K65" s="688"/>
      <c r="L65" s="99"/>
      <c r="M65" s="83"/>
      <c r="N65" s="90"/>
      <c r="O65" s="90"/>
      <c r="P65" s="82"/>
    </row>
    <row r="66" spans="1:16">
      <c r="A66" s="651"/>
      <c r="B66" s="132">
        <v>46203</v>
      </c>
      <c r="C66" s="107">
        <v>46206</v>
      </c>
      <c r="D66" s="81">
        <v>86</v>
      </c>
      <c r="E66" s="66">
        <v>849123</v>
      </c>
      <c r="F66" s="118" t="s">
        <v>203</v>
      </c>
      <c r="G66" s="81"/>
      <c r="H66" s="81"/>
      <c r="I66" s="81"/>
      <c r="J66" s="97"/>
      <c r="K66" s="688"/>
      <c r="L66" s="99"/>
      <c r="M66" s="83"/>
      <c r="N66" s="90"/>
      <c r="O66" s="90"/>
      <c r="P66" s="82"/>
    </row>
    <row r="67" spans="1:16">
      <c r="A67" s="651"/>
      <c r="B67" s="132">
        <v>46203</v>
      </c>
      <c r="C67" s="107">
        <v>46206</v>
      </c>
      <c r="D67" s="81">
        <v>86</v>
      </c>
      <c r="E67" s="66">
        <v>950288</v>
      </c>
      <c r="F67" s="118" t="s">
        <v>204</v>
      </c>
      <c r="G67" s="81"/>
      <c r="H67" s="81"/>
      <c r="I67" s="81"/>
      <c r="J67" s="97"/>
      <c r="K67" s="688"/>
      <c r="L67" s="99"/>
      <c r="M67" s="83"/>
      <c r="N67" s="90"/>
      <c r="O67" s="90"/>
      <c r="P67" s="82"/>
    </row>
    <row r="68" spans="1:16">
      <c r="A68" s="651"/>
      <c r="B68" s="132">
        <v>46203</v>
      </c>
      <c r="C68" s="107">
        <v>46206</v>
      </c>
      <c r="D68" s="81">
        <v>86</v>
      </c>
      <c r="E68" s="66">
        <v>1438296</v>
      </c>
      <c r="F68" s="118" t="s">
        <v>205</v>
      </c>
      <c r="G68" s="94"/>
      <c r="H68" s="94"/>
      <c r="I68" s="94"/>
      <c r="J68" s="98"/>
      <c r="K68" s="688"/>
      <c r="L68" s="100"/>
      <c r="M68" s="95"/>
      <c r="N68" s="114"/>
      <c r="O68" s="114"/>
      <c r="P68" s="119"/>
    </row>
    <row r="69" spans="1:16">
      <c r="A69" s="651"/>
      <c r="B69" s="132">
        <v>46203</v>
      </c>
      <c r="C69" s="107">
        <v>46206</v>
      </c>
      <c r="D69" s="81">
        <v>86</v>
      </c>
      <c r="E69" s="65">
        <v>221960</v>
      </c>
      <c r="F69" s="117" t="s">
        <v>206</v>
      </c>
      <c r="G69" s="81"/>
      <c r="H69" s="81"/>
      <c r="I69" s="81"/>
      <c r="J69" s="81"/>
      <c r="K69" s="690" t="s">
        <v>207</v>
      </c>
      <c r="L69" s="81"/>
      <c r="M69" s="83"/>
      <c r="N69" s="90"/>
      <c r="O69" s="90"/>
      <c r="P69" s="82"/>
    </row>
    <row r="70" spans="1:16">
      <c r="A70" s="651"/>
      <c r="B70" s="132">
        <v>46203</v>
      </c>
      <c r="C70" s="107">
        <v>46206</v>
      </c>
      <c r="D70" s="81">
        <v>86</v>
      </c>
      <c r="E70" s="66">
        <v>240843</v>
      </c>
      <c r="F70" s="118" t="s">
        <v>208</v>
      </c>
      <c r="G70" s="81"/>
      <c r="H70" s="81"/>
      <c r="I70" s="81"/>
      <c r="J70" s="81"/>
      <c r="K70" s="688"/>
      <c r="L70" s="81"/>
      <c r="M70" s="83"/>
      <c r="N70" s="90"/>
      <c r="O70" s="90"/>
      <c r="P70" s="82"/>
    </row>
    <row r="71" spans="1:16">
      <c r="A71" s="651"/>
      <c r="B71" s="132">
        <v>46203</v>
      </c>
      <c r="C71" s="107">
        <v>46206</v>
      </c>
      <c r="D71" s="81">
        <v>86</v>
      </c>
      <c r="E71" s="66">
        <v>609201</v>
      </c>
      <c r="F71" s="118" t="s">
        <v>209</v>
      </c>
      <c r="G71" s="81"/>
      <c r="H71" s="81"/>
      <c r="I71" s="81"/>
      <c r="J71" s="81"/>
      <c r="K71" s="688"/>
      <c r="L71" s="81"/>
      <c r="M71" s="83"/>
      <c r="N71" s="90"/>
      <c r="O71" s="90"/>
      <c r="P71" s="82"/>
    </row>
    <row r="72" spans="1:16">
      <c r="A72" s="651"/>
      <c r="B72" s="132">
        <v>46203</v>
      </c>
      <c r="C72" s="107">
        <v>46206</v>
      </c>
      <c r="D72" s="81">
        <v>86</v>
      </c>
      <c r="E72" s="66">
        <v>616300</v>
      </c>
      <c r="F72" s="118" t="s">
        <v>210</v>
      </c>
      <c r="G72" s="81"/>
      <c r="H72" s="81"/>
      <c r="I72" s="81"/>
      <c r="J72" s="81"/>
      <c r="K72" s="688"/>
      <c r="L72" s="81"/>
      <c r="M72" s="83"/>
      <c r="N72" s="90"/>
      <c r="O72" s="90"/>
      <c r="P72" s="82"/>
    </row>
    <row r="73" spans="1:16">
      <c r="A73" s="651"/>
      <c r="B73" s="132">
        <v>46203</v>
      </c>
      <c r="C73" s="107">
        <v>46206</v>
      </c>
      <c r="D73" s="81">
        <v>86</v>
      </c>
      <c r="E73" s="66">
        <v>952401</v>
      </c>
      <c r="F73" s="118" t="s">
        <v>211</v>
      </c>
      <c r="G73" s="81"/>
      <c r="H73" s="81"/>
      <c r="I73" s="81"/>
      <c r="J73" s="81"/>
      <c r="K73" s="688"/>
      <c r="L73" s="81"/>
      <c r="M73" s="83"/>
      <c r="N73" s="90"/>
      <c r="O73" s="90"/>
      <c r="P73" s="82"/>
    </row>
    <row r="74" spans="1:16">
      <c r="A74" s="651"/>
      <c r="B74" s="132">
        <v>46203</v>
      </c>
      <c r="C74" s="107">
        <v>46206</v>
      </c>
      <c r="D74" s="81">
        <v>86</v>
      </c>
      <c r="E74" s="66">
        <v>1437051</v>
      </c>
      <c r="F74" s="118" t="s">
        <v>212</v>
      </c>
      <c r="G74" s="81"/>
      <c r="H74" s="81"/>
      <c r="I74" s="81"/>
      <c r="J74" s="81"/>
      <c r="K74" s="688"/>
      <c r="L74" s="81"/>
      <c r="M74" s="83"/>
      <c r="N74" s="90"/>
      <c r="O74" s="90"/>
      <c r="P74" s="82"/>
    </row>
    <row r="75" spans="1:16">
      <c r="A75" s="651"/>
      <c r="B75" s="132">
        <v>46203</v>
      </c>
      <c r="C75" s="107">
        <v>46206</v>
      </c>
      <c r="D75" s="81">
        <v>86</v>
      </c>
      <c r="E75" s="66">
        <v>1594673</v>
      </c>
      <c r="F75" s="118" t="s">
        <v>213</v>
      </c>
      <c r="G75" s="94"/>
      <c r="H75" s="94"/>
      <c r="I75" s="94"/>
      <c r="J75" s="94"/>
      <c r="K75" s="689"/>
      <c r="L75" s="94"/>
      <c r="M75" s="95"/>
      <c r="N75" s="114"/>
      <c r="O75" s="114"/>
      <c r="P75" s="119"/>
    </row>
    <row r="76" spans="1:16">
      <c r="A76" s="651"/>
      <c r="B76" s="132">
        <v>46203</v>
      </c>
      <c r="C76" s="107">
        <v>46206</v>
      </c>
      <c r="D76" s="81">
        <v>86</v>
      </c>
      <c r="E76" s="65">
        <v>353067</v>
      </c>
      <c r="F76" s="117" t="s">
        <v>214</v>
      </c>
      <c r="G76" s="81"/>
      <c r="H76" s="81"/>
      <c r="I76" s="81"/>
      <c r="J76" s="81"/>
      <c r="K76" s="688" t="s">
        <v>215</v>
      </c>
      <c r="L76" s="81"/>
      <c r="M76" s="83"/>
      <c r="N76" s="90"/>
      <c r="O76" s="90"/>
      <c r="P76" s="82"/>
    </row>
    <row r="77" spans="1:16">
      <c r="A77" s="651"/>
      <c r="B77" s="132">
        <v>46203</v>
      </c>
      <c r="C77" s="107">
        <v>46206</v>
      </c>
      <c r="D77" s="81">
        <v>86</v>
      </c>
      <c r="E77" s="66">
        <v>1437054</v>
      </c>
      <c r="F77" s="118" t="s">
        <v>216</v>
      </c>
      <c r="G77" s="81"/>
      <c r="H77" s="81"/>
      <c r="I77" s="81"/>
      <c r="J77" s="81"/>
      <c r="K77" s="688"/>
      <c r="L77" s="81"/>
      <c r="M77" s="83"/>
      <c r="N77" s="90"/>
      <c r="O77" s="90"/>
      <c r="P77" s="82"/>
    </row>
    <row r="78" spans="1:16">
      <c r="A78" s="651"/>
      <c r="B78" s="132">
        <v>46203</v>
      </c>
      <c r="C78" s="107">
        <v>46206</v>
      </c>
      <c r="D78" s="81">
        <v>86</v>
      </c>
      <c r="E78" s="66">
        <v>222461</v>
      </c>
      <c r="F78" s="118" t="s">
        <v>217</v>
      </c>
      <c r="G78" s="81"/>
      <c r="H78" s="81"/>
      <c r="I78" s="81"/>
      <c r="J78" s="81"/>
      <c r="K78" s="688"/>
      <c r="L78" s="81"/>
      <c r="M78" s="83"/>
      <c r="N78" s="90"/>
      <c r="O78" s="90"/>
      <c r="P78" s="82"/>
    </row>
    <row r="79" spans="1:16">
      <c r="A79" s="651"/>
      <c r="B79" s="132">
        <v>46203</v>
      </c>
      <c r="C79" s="107">
        <v>46206</v>
      </c>
      <c r="D79" s="81">
        <v>86</v>
      </c>
      <c r="E79" s="66">
        <v>22952</v>
      </c>
      <c r="F79" s="118" t="s">
        <v>218</v>
      </c>
      <c r="G79" s="94"/>
      <c r="H79" s="94"/>
      <c r="I79" s="94"/>
      <c r="J79" s="94"/>
      <c r="K79" s="689"/>
      <c r="L79" s="94"/>
      <c r="M79" s="95"/>
      <c r="N79" s="114"/>
      <c r="O79" s="114"/>
      <c r="P79" s="119"/>
    </row>
    <row r="80" spans="1:16">
      <c r="A80" s="651"/>
      <c r="B80" s="132">
        <v>46203</v>
      </c>
      <c r="C80" s="107">
        <v>46206</v>
      </c>
      <c r="D80" s="81">
        <v>86</v>
      </c>
      <c r="E80" s="65">
        <v>917541</v>
      </c>
      <c r="F80" s="117" t="s">
        <v>219</v>
      </c>
      <c r="G80" s="81"/>
      <c r="H80" s="81"/>
      <c r="I80" s="81"/>
      <c r="J80" s="81"/>
      <c r="K80" s="81" t="s">
        <v>220</v>
      </c>
      <c r="L80" s="81"/>
      <c r="M80" s="83"/>
      <c r="N80" s="90"/>
      <c r="O80" s="90"/>
      <c r="P80" s="82"/>
    </row>
    <row r="81" spans="1:16">
      <c r="A81" s="650"/>
      <c r="B81" s="132">
        <v>46203</v>
      </c>
      <c r="C81" s="135">
        <v>46206</v>
      </c>
      <c r="D81" s="94">
        <v>86</v>
      </c>
      <c r="E81" s="136">
        <v>45083</v>
      </c>
      <c r="F81" s="137" t="s">
        <v>221</v>
      </c>
      <c r="G81" s="94"/>
      <c r="H81" s="94"/>
      <c r="I81" s="94"/>
      <c r="J81" s="94"/>
      <c r="K81" s="81" t="s">
        <v>220</v>
      </c>
      <c r="L81" s="94"/>
      <c r="M81" s="95"/>
      <c r="N81" s="114"/>
      <c r="O81" s="114"/>
      <c r="P81" s="119"/>
    </row>
    <row r="82" spans="1:16">
      <c r="A82" s="161"/>
      <c r="B82" s="696" t="s">
        <v>222</v>
      </c>
      <c r="C82" s="696"/>
      <c r="D82" s="696"/>
      <c r="E82" s="696"/>
      <c r="F82" s="696"/>
      <c r="G82" s="696"/>
      <c r="H82" s="696"/>
      <c r="I82" s="696"/>
      <c r="J82" s="696"/>
      <c r="K82" s="696"/>
      <c r="L82" s="696"/>
      <c r="M82" s="696"/>
      <c r="N82" s="696"/>
      <c r="O82" s="696"/>
      <c r="P82" s="134"/>
    </row>
    <row r="83" spans="1:16">
      <c r="A83" s="649" t="s">
        <v>71</v>
      </c>
      <c r="B83" s="78">
        <v>46209</v>
      </c>
      <c r="C83" s="78">
        <v>46213</v>
      </c>
      <c r="D83" s="81">
        <v>86</v>
      </c>
      <c r="E83" s="66">
        <v>71391</v>
      </c>
      <c r="F83" s="118" t="s">
        <v>223</v>
      </c>
      <c r="G83" s="414"/>
      <c r="H83" s="414"/>
      <c r="I83" s="414"/>
      <c r="J83" s="414"/>
      <c r="K83" s="697" t="s">
        <v>224</v>
      </c>
      <c r="L83" s="414"/>
      <c r="M83" s="414"/>
      <c r="N83" s="414"/>
      <c r="O83" s="414"/>
      <c r="P83" s="82"/>
    </row>
    <row r="84" spans="1:16">
      <c r="A84" s="651"/>
      <c r="B84" s="78">
        <v>46209</v>
      </c>
      <c r="C84" s="78">
        <v>46213</v>
      </c>
      <c r="D84" s="81">
        <v>86</v>
      </c>
      <c r="E84" s="66">
        <v>625264</v>
      </c>
      <c r="F84" s="118" t="s">
        <v>225</v>
      </c>
      <c r="G84" s="414"/>
      <c r="H84" s="414"/>
      <c r="I84" s="414"/>
      <c r="J84" s="414"/>
      <c r="K84" s="698"/>
      <c r="L84" s="414"/>
      <c r="M84" s="414"/>
      <c r="N84" s="414"/>
      <c r="O84" s="414"/>
      <c r="P84" s="82"/>
    </row>
    <row r="85" spans="1:16">
      <c r="A85" s="651"/>
      <c r="B85" s="78">
        <v>46209</v>
      </c>
      <c r="C85" s="78">
        <v>46213</v>
      </c>
      <c r="D85" s="81">
        <v>86</v>
      </c>
      <c r="E85" s="66">
        <v>969038</v>
      </c>
      <c r="F85" s="118" t="s">
        <v>226</v>
      </c>
      <c r="G85" s="414"/>
      <c r="H85" s="414"/>
      <c r="I85" s="414"/>
      <c r="J85" s="414"/>
      <c r="K85" s="698"/>
      <c r="L85" s="414"/>
      <c r="M85" s="414"/>
      <c r="N85" s="414"/>
      <c r="O85" s="414"/>
      <c r="P85" s="82"/>
    </row>
    <row r="86" spans="1:16">
      <c r="A86" s="651"/>
      <c r="B86" s="138">
        <v>46209</v>
      </c>
      <c r="C86" s="138">
        <v>46213</v>
      </c>
      <c r="D86" s="94">
        <v>86</v>
      </c>
      <c r="E86" s="66">
        <v>394245</v>
      </c>
      <c r="F86" s="118" t="s">
        <v>227</v>
      </c>
      <c r="G86" s="414"/>
      <c r="H86" s="414"/>
      <c r="I86" s="414"/>
      <c r="J86" s="414"/>
      <c r="K86" s="698"/>
      <c r="L86" s="414"/>
      <c r="M86" s="414"/>
      <c r="N86" s="414"/>
      <c r="O86" s="414"/>
      <c r="P86" s="82"/>
    </row>
    <row r="87" spans="1:16">
      <c r="A87" s="651"/>
      <c r="B87" s="138">
        <v>46209</v>
      </c>
      <c r="C87" s="138">
        <v>46213</v>
      </c>
      <c r="D87" s="94">
        <v>86</v>
      </c>
      <c r="E87" s="66">
        <v>3142371</v>
      </c>
      <c r="F87" s="118" t="s">
        <v>228</v>
      </c>
      <c r="G87" s="414"/>
      <c r="H87" s="414"/>
      <c r="I87" s="414"/>
      <c r="J87" s="414"/>
      <c r="K87" s="699"/>
      <c r="L87" s="414"/>
      <c r="M87" s="414"/>
      <c r="N87" s="414"/>
      <c r="O87" s="414"/>
      <c r="P87" s="82"/>
    </row>
    <row r="88" spans="1:16">
      <c r="A88" s="651"/>
      <c r="B88" s="78">
        <v>46209</v>
      </c>
      <c r="C88" s="78">
        <v>46213</v>
      </c>
      <c r="D88" s="81">
        <v>86</v>
      </c>
      <c r="E88" s="110">
        <v>14584</v>
      </c>
      <c r="F88" s="110" t="s">
        <v>229</v>
      </c>
      <c r="G88" s="81"/>
      <c r="H88" s="81"/>
      <c r="I88" s="81"/>
      <c r="J88" s="81"/>
      <c r="K88" s="688" t="s">
        <v>230</v>
      </c>
      <c r="L88" s="81"/>
      <c r="M88" s="83"/>
      <c r="N88" s="90"/>
      <c r="O88" s="90"/>
      <c r="P88" s="82"/>
    </row>
    <row r="89" spans="1:16">
      <c r="A89" s="651"/>
      <c r="B89" s="78">
        <v>46209</v>
      </c>
      <c r="C89" s="78">
        <v>46213</v>
      </c>
      <c r="D89" s="81">
        <v>86</v>
      </c>
      <c r="E89" s="110">
        <v>191036</v>
      </c>
      <c r="F89" s="110" t="s">
        <v>231</v>
      </c>
      <c r="G89" s="81"/>
      <c r="H89" s="81"/>
      <c r="I89" s="81"/>
      <c r="J89" s="81"/>
      <c r="K89" s="688"/>
      <c r="L89" s="81"/>
      <c r="M89" s="83"/>
      <c r="N89" s="90"/>
      <c r="O89" s="90"/>
      <c r="P89" s="82"/>
    </row>
    <row r="90" spans="1:16">
      <c r="A90" s="651"/>
      <c r="B90" s="78">
        <v>46209</v>
      </c>
      <c r="C90" s="78">
        <v>46213</v>
      </c>
      <c r="D90" s="81">
        <v>86</v>
      </c>
      <c r="E90" s="110">
        <v>812699</v>
      </c>
      <c r="F90" s="110" t="s">
        <v>232</v>
      </c>
      <c r="G90" s="81"/>
      <c r="H90" s="81"/>
      <c r="I90" s="81"/>
      <c r="J90" s="81"/>
      <c r="K90" s="688"/>
      <c r="L90" s="81"/>
      <c r="M90" s="83"/>
      <c r="N90" s="90"/>
      <c r="O90" s="90"/>
      <c r="P90" s="82"/>
    </row>
    <row r="91" spans="1:16">
      <c r="A91" s="651"/>
      <c r="B91" s="138">
        <v>46209</v>
      </c>
      <c r="C91" s="138">
        <v>46213</v>
      </c>
      <c r="D91" s="94">
        <v>86</v>
      </c>
      <c r="E91" s="139">
        <v>1434975</v>
      </c>
      <c r="F91" s="139" t="s">
        <v>233</v>
      </c>
      <c r="G91" s="94"/>
      <c r="H91" s="94"/>
      <c r="I91" s="94"/>
      <c r="J91" s="94"/>
      <c r="K91" s="689"/>
      <c r="L91" s="94"/>
      <c r="M91" s="95"/>
      <c r="N91" s="114"/>
      <c r="O91" s="114"/>
      <c r="P91" s="119"/>
    </row>
    <row r="92" spans="1:16">
      <c r="A92" s="651"/>
      <c r="B92" s="78">
        <v>46209</v>
      </c>
      <c r="C92" s="78">
        <v>46213</v>
      </c>
      <c r="D92" s="81">
        <v>86</v>
      </c>
      <c r="E92" s="110">
        <v>3021998</v>
      </c>
      <c r="F92" s="110" t="s">
        <v>234</v>
      </c>
      <c r="G92" s="81"/>
      <c r="H92" s="81"/>
      <c r="I92" s="81"/>
      <c r="J92" s="81"/>
      <c r="K92" s="688"/>
      <c r="L92" s="81"/>
      <c r="M92" s="83"/>
      <c r="N92" s="90"/>
      <c r="O92" s="90"/>
      <c r="P92" s="82"/>
    </row>
    <row r="93" spans="1:16">
      <c r="A93" s="651"/>
      <c r="B93" s="78">
        <v>46209</v>
      </c>
      <c r="C93" s="78">
        <v>46213</v>
      </c>
      <c r="D93" s="81">
        <v>86</v>
      </c>
      <c r="E93" s="110">
        <v>237700</v>
      </c>
      <c r="F93" s="110" t="s">
        <v>235</v>
      </c>
      <c r="G93" s="81"/>
      <c r="H93" s="81"/>
      <c r="I93" s="81"/>
      <c r="J93" s="81"/>
      <c r="K93" s="688" t="s">
        <v>236</v>
      </c>
      <c r="L93" s="81"/>
      <c r="M93" s="83"/>
      <c r="N93" s="90"/>
      <c r="O93" s="90"/>
      <c r="P93" s="82"/>
    </row>
    <row r="94" spans="1:16">
      <c r="A94" s="651"/>
      <c r="B94" s="78">
        <v>46209</v>
      </c>
      <c r="C94" s="78">
        <v>46213</v>
      </c>
      <c r="D94" s="81">
        <v>86</v>
      </c>
      <c r="E94" s="110">
        <v>445020</v>
      </c>
      <c r="F94" s="110" t="s">
        <v>237</v>
      </c>
      <c r="G94" s="81"/>
      <c r="H94" s="81"/>
      <c r="I94" s="81"/>
      <c r="J94" s="81"/>
      <c r="K94" s="688"/>
      <c r="L94" s="81"/>
      <c r="M94" s="83"/>
      <c r="N94" s="90"/>
      <c r="O94" s="90"/>
      <c r="P94" s="82"/>
    </row>
    <row r="95" spans="1:16">
      <c r="A95" s="651"/>
      <c r="B95" s="78">
        <v>46209</v>
      </c>
      <c r="C95" s="78">
        <v>46213</v>
      </c>
      <c r="D95" s="81">
        <v>86</v>
      </c>
      <c r="E95" s="110">
        <v>569054</v>
      </c>
      <c r="F95" s="110" t="s">
        <v>238</v>
      </c>
      <c r="G95" s="81"/>
      <c r="H95" s="81"/>
      <c r="I95" s="81"/>
      <c r="J95" s="81"/>
      <c r="K95" s="688"/>
      <c r="L95" s="81"/>
      <c r="M95" s="83"/>
      <c r="N95" s="90"/>
      <c r="O95" s="90"/>
      <c r="P95" s="82"/>
    </row>
    <row r="96" spans="1:16">
      <c r="A96" s="651"/>
      <c r="B96" s="78">
        <v>46209</v>
      </c>
      <c r="C96" s="78">
        <v>46213</v>
      </c>
      <c r="D96" s="81">
        <v>86</v>
      </c>
      <c r="E96" s="110">
        <v>981465</v>
      </c>
      <c r="F96" s="110" t="s">
        <v>239</v>
      </c>
      <c r="G96" s="81"/>
      <c r="H96" s="81"/>
      <c r="I96" s="81"/>
      <c r="J96" s="81"/>
      <c r="K96" s="688"/>
      <c r="L96" s="81"/>
      <c r="M96" s="83"/>
      <c r="N96" s="90"/>
      <c r="O96" s="90"/>
      <c r="P96" s="82"/>
    </row>
    <row r="97" spans="1:16">
      <c r="A97" s="651"/>
      <c r="B97" s="78">
        <v>46209</v>
      </c>
      <c r="C97" s="78">
        <v>46213</v>
      </c>
      <c r="D97" s="81">
        <v>86</v>
      </c>
      <c r="E97" s="110">
        <v>1437031</v>
      </c>
      <c r="F97" s="110" t="s">
        <v>240</v>
      </c>
      <c r="G97" s="81"/>
      <c r="H97" s="81"/>
      <c r="I97" s="81"/>
      <c r="J97" s="81"/>
      <c r="K97" s="688"/>
      <c r="L97" s="81"/>
      <c r="M97" s="83"/>
      <c r="N97" s="90"/>
      <c r="O97" s="90"/>
      <c r="P97" s="82"/>
    </row>
    <row r="98" spans="1:16">
      <c r="A98" s="651"/>
      <c r="B98" s="78">
        <v>46209</v>
      </c>
      <c r="C98" s="78">
        <v>46213</v>
      </c>
      <c r="D98" s="81">
        <v>86</v>
      </c>
      <c r="E98" s="110">
        <v>185761</v>
      </c>
      <c r="F98" s="110" t="s">
        <v>241</v>
      </c>
      <c r="G98" s="81"/>
      <c r="H98" s="81"/>
      <c r="I98" s="81"/>
      <c r="J98" s="81"/>
      <c r="K98" s="688"/>
      <c r="L98" s="81"/>
      <c r="M98" s="83"/>
      <c r="N98" s="90"/>
      <c r="O98" s="90"/>
      <c r="P98" s="82"/>
    </row>
    <row r="99" spans="1:16">
      <c r="A99" s="651"/>
      <c r="B99" s="78">
        <v>46209</v>
      </c>
      <c r="C99" s="78">
        <v>46213</v>
      </c>
      <c r="D99" s="81">
        <v>86</v>
      </c>
      <c r="E99" s="110">
        <v>1437032</v>
      </c>
      <c r="F99" s="110" t="s">
        <v>242</v>
      </c>
      <c r="G99" s="81"/>
      <c r="H99" s="81"/>
      <c r="I99" s="81"/>
      <c r="J99" s="81"/>
      <c r="K99" s="688"/>
      <c r="L99" s="81"/>
      <c r="M99" s="83"/>
      <c r="N99" s="90"/>
      <c r="O99" s="90"/>
      <c r="P99" s="82"/>
    </row>
    <row r="100" spans="1:16">
      <c r="A100" s="651"/>
      <c r="B100" s="78">
        <v>46209</v>
      </c>
      <c r="C100" s="78">
        <v>46213</v>
      </c>
      <c r="D100" s="81">
        <v>86</v>
      </c>
      <c r="E100" s="110">
        <v>668903</v>
      </c>
      <c r="F100" s="110" t="s">
        <v>243</v>
      </c>
      <c r="G100" s="81"/>
      <c r="H100" s="81"/>
      <c r="I100" s="81"/>
      <c r="J100" s="81"/>
      <c r="K100" s="688"/>
      <c r="L100" s="81"/>
      <c r="M100" s="83"/>
      <c r="N100" s="90"/>
      <c r="O100" s="90"/>
      <c r="P100" s="82"/>
    </row>
    <row r="101" spans="1:16">
      <c r="A101" s="651"/>
      <c r="B101" s="78">
        <v>46209</v>
      </c>
      <c r="C101" s="78">
        <v>46213</v>
      </c>
      <c r="D101" s="81">
        <v>86</v>
      </c>
      <c r="E101" s="110">
        <v>777600</v>
      </c>
      <c r="F101" s="110" t="s">
        <v>244</v>
      </c>
      <c r="G101" s="81"/>
      <c r="H101" s="81"/>
      <c r="I101" s="81"/>
      <c r="J101" s="81"/>
      <c r="K101" s="688"/>
      <c r="L101" s="81"/>
      <c r="M101" s="83"/>
      <c r="N101" s="90"/>
      <c r="O101" s="90"/>
      <c r="P101" s="82"/>
    </row>
    <row r="102" spans="1:16">
      <c r="A102" s="651"/>
      <c r="B102" s="78">
        <v>46209</v>
      </c>
      <c r="C102" s="78">
        <v>46213</v>
      </c>
      <c r="D102" s="81">
        <v>86</v>
      </c>
      <c r="E102" s="110">
        <v>213134</v>
      </c>
      <c r="F102" s="110" t="s">
        <v>245</v>
      </c>
      <c r="G102" s="81"/>
      <c r="H102" s="81"/>
      <c r="I102" s="81"/>
      <c r="J102" s="81"/>
      <c r="K102" s="688"/>
      <c r="L102" s="81"/>
      <c r="M102" s="83"/>
      <c r="N102" s="90"/>
      <c r="O102" s="90"/>
      <c r="P102" s="82"/>
    </row>
    <row r="103" spans="1:16">
      <c r="A103" s="651"/>
      <c r="B103" s="78">
        <v>46209</v>
      </c>
      <c r="C103" s="78">
        <v>46213</v>
      </c>
      <c r="D103" s="81">
        <v>86</v>
      </c>
      <c r="E103" s="110">
        <v>3066212</v>
      </c>
      <c r="F103" s="110" t="s">
        <v>246</v>
      </c>
      <c r="G103" s="81"/>
      <c r="H103" s="81"/>
      <c r="I103" s="81"/>
      <c r="J103" s="81"/>
      <c r="K103" s="688"/>
      <c r="L103" s="81"/>
      <c r="M103" s="83"/>
      <c r="N103" s="90"/>
      <c r="O103" s="90"/>
      <c r="P103" s="82"/>
    </row>
    <row r="104" spans="1:16">
      <c r="A104" s="651"/>
      <c r="B104" s="78">
        <v>46209</v>
      </c>
      <c r="C104" s="78">
        <v>46213</v>
      </c>
      <c r="D104" s="81">
        <v>86</v>
      </c>
      <c r="E104" s="110">
        <v>3025311</v>
      </c>
      <c r="F104" s="110" t="s">
        <v>247</v>
      </c>
      <c r="G104" s="81"/>
      <c r="H104" s="81"/>
      <c r="I104" s="81"/>
      <c r="J104" s="81"/>
      <c r="K104" s="688"/>
      <c r="L104" s="81"/>
      <c r="M104" s="83"/>
      <c r="N104" s="90"/>
      <c r="O104" s="90"/>
      <c r="P104" s="82"/>
    </row>
    <row r="105" spans="1:16">
      <c r="A105" s="651"/>
      <c r="B105" s="78">
        <v>46209</v>
      </c>
      <c r="C105" s="78">
        <v>46213</v>
      </c>
      <c r="D105" s="81">
        <v>86</v>
      </c>
      <c r="E105" s="110">
        <v>824446</v>
      </c>
      <c r="F105" s="110" t="s">
        <v>248</v>
      </c>
      <c r="G105" s="81"/>
      <c r="H105" s="81"/>
      <c r="I105" s="81"/>
      <c r="J105" s="81"/>
      <c r="K105" s="691" t="s">
        <v>220</v>
      </c>
      <c r="L105" s="81"/>
      <c r="M105" s="83"/>
      <c r="N105" s="90"/>
      <c r="O105" s="90"/>
      <c r="P105" s="82"/>
    </row>
    <row r="106" spans="1:16">
      <c r="A106" s="651"/>
      <c r="B106" s="78">
        <v>46209</v>
      </c>
      <c r="C106" s="78">
        <v>46213</v>
      </c>
      <c r="D106" s="81">
        <v>86</v>
      </c>
      <c r="E106" s="110">
        <v>860794</v>
      </c>
      <c r="F106" s="110" t="s">
        <v>249</v>
      </c>
      <c r="G106" s="81"/>
      <c r="H106" s="81"/>
      <c r="I106" s="81"/>
      <c r="J106" s="81"/>
      <c r="K106" s="691"/>
      <c r="L106" s="81"/>
      <c r="M106" s="83"/>
      <c r="N106" s="90"/>
      <c r="O106" s="90"/>
      <c r="P106" s="82"/>
    </row>
    <row r="107" spans="1:16">
      <c r="A107" s="651"/>
      <c r="B107" s="78">
        <v>46209</v>
      </c>
      <c r="C107" s="78">
        <v>46213</v>
      </c>
      <c r="D107" s="81">
        <v>86</v>
      </c>
      <c r="E107" s="110">
        <v>1523894</v>
      </c>
      <c r="F107" s="110" t="s">
        <v>250</v>
      </c>
      <c r="G107" s="81"/>
      <c r="H107" s="81"/>
      <c r="I107" s="81"/>
      <c r="J107" s="81"/>
      <c r="K107" s="691"/>
      <c r="L107" s="81"/>
      <c r="M107" s="83"/>
      <c r="N107" s="90"/>
      <c r="O107" s="90"/>
      <c r="P107" s="82"/>
    </row>
    <row r="108" spans="1:16">
      <c r="A108" s="651"/>
      <c r="B108" s="78">
        <v>46209</v>
      </c>
      <c r="C108" s="78">
        <v>46213</v>
      </c>
      <c r="D108" s="81">
        <v>86</v>
      </c>
      <c r="E108" s="110">
        <v>217942</v>
      </c>
      <c r="F108" s="110" t="s">
        <v>251</v>
      </c>
      <c r="G108" s="81"/>
      <c r="H108" s="81"/>
      <c r="I108" s="81"/>
      <c r="J108" s="81"/>
      <c r="K108" s="691"/>
      <c r="L108" s="81"/>
      <c r="M108" s="83"/>
      <c r="N108" s="90"/>
      <c r="O108" s="90"/>
      <c r="P108" s="82"/>
    </row>
    <row r="109" spans="1:16">
      <c r="A109" s="651"/>
      <c r="B109" s="78">
        <v>46209</v>
      </c>
      <c r="C109" s="78">
        <v>46213</v>
      </c>
      <c r="D109" s="81">
        <v>86</v>
      </c>
      <c r="E109" s="110">
        <v>950288</v>
      </c>
      <c r="F109" s="110" t="s">
        <v>204</v>
      </c>
      <c r="G109" s="81"/>
      <c r="H109" s="81"/>
      <c r="I109" s="81"/>
      <c r="J109" s="81"/>
      <c r="K109" s="691"/>
      <c r="L109" s="81"/>
      <c r="M109" s="83"/>
      <c r="N109" s="90"/>
      <c r="O109" s="90"/>
      <c r="P109" s="82"/>
    </row>
    <row r="110" spans="1:16">
      <c r="A110" s="651"/>
      <c r="B110" s="78">
        <v>46209</v>
      </c>
      <c r="C110" s="78">
        <v>46213</v>
      </c>
      <c r="D110" s="81">
        <v>86</v>
      </c>
      <c r="E110" s="110">
        <v>1438296</v>
      </c>
      <c r="F110" s="110" t="s">
        <v>252</v>
      </c>
      <c r="G110" s="81"/>
      <c r="H110" s="81"/>
      <c r="I110" s="81"/>
      <c r="J110" s="81"/>
      <c r="K110" s="691"/>
      <c r="L110" s="81"/>
      <c r="M110" s="83"/>
      <c r="N110" s="90"/>
      <c r="O110" s="90"/>
      <c r="P110" s="82"/>
    </row>
    <row r="111" spans="1:16">
      <c r="A111" s="651"/>
      <c r="B111" s="78">
        <v>46209</v>
      </c>
      <c r="C111" s="78">
        <v>46213</v>
      </c>
      <c r="D111" s="81">
        <v>86</v>
      </c>
      <c r="E111" s="110">
        <v>197589</v>
      </c>
      <c r="F111" s="110" t="s">
        <v>253</v>
      </c>
      <c r="G111" s="81"/>
      <c r="H111" s="81"/>
      <c r="I111" s="81"/>
      <c r="J111" s="81"/>
      <c r="K111" s="692"/>
      <c r="L111" s="81"/>
      <c r="M111" s="83"/>
      <c r="N111" s="90"/>
      <c r="O111" s="90"/>
      <c r="P111" s="82"/>
    </row>
    <row r="112" spans="1:16">
      <c r="A112" s="651"/>
      <c r="B112" s="78">
        <v>46209</v>
      </c>
      <c r="C112" s="78">
        <v>46213</v>
      </c>
      <c r="D112" s="81">
        <v>86</v>
      </c>
      <c r="E112" s="110">
        <v>878486</v>
      </c>
      <c r="F112" s="110" t="s">
        <v>254</v>
      </c>
      <c r="G112" s="81"/>
      <c r="H112" s="81"/>
      <c r="I112" s="81"/>
      <c r="J112" s="97"/>
      <c r="K112" s="691" t="s">
        <v>255</v>
      </c>
      <c r="L112" s="99"/>
      <c r="M112" s="83"/>
      <c r="N112" s="90"/>
      <c r="O112" s="90"/>
      <c r="P112" s="82"/>
    </row>
    <row r="113" spans="1:16">
      <c r="A113" s="651"/>
      <c r="B113" s="78">
        <v>46209</v>
      </c>
      <c r="C113" s="78">
        <v>46213</v>
      </c>
      <c r="D113" s="81">
        <v>86</v>
      </c>
      <c r="E113" s="110">
        <v>22957</v>
      </c>
      <c r="F113" s="110" t="s">
        <v>256</v>
      </c>
      <c r="G113" s="81"/>
      <c r="H113" s="81"/>
      <c r="I113" s="81"/>
      <c r="J113" s="97"/>
      <c r="K113" s="691"/>
      <c r="L113" s="99"/>
      <c r="M113" s="83"/>
      <c r="N113" s="90"/>
      <c r="O113" s="90"/>
      <c r="P113" s="82"/>
    </row>
    <row r="114" spans="1:16">
      <c r="A114" s="651"/>
      <c r="B114" s="78">
        <v>46209</v>
      </c>
      <c r="C114" s="78">
        <v>46213</v>
      </c>
      <c r="D114" s="81">
        <v>86</v>
      </c>
      <c r="E114" s="110">
        <v>3641888</v>
      </c>
      <c r="F114" s="110" t="s">
        <v>257</v>
      </c>
      <c r="G114" s="81"/>
      <c r="H114" s="81"/>
      <c r="I114" s="81"/>
      <c r="J114" s="97"/>
      <c r="K114" s="691"/>
      <c r="L114" s="99"/>
      <c r="M114" s="83"/>
      <c r="N114" s="90"/>
      <c r="O114" s="90"/>
      <c r="P114" s="82"/>
    </row>
    <row r="115" spans="1:16">
      <c r="A115" s="650"/>
      <c r="B115" s="138">
        <v>46209</v>
      </c>
      <c r="C115" s="138">
        <v>46213</v>
      </c>
      <c r="D115" s="94">
        <v>86</v>
      </c>
      <c r="E115" s="139">
        <v>1437101</v>
      </c>
      <c r="F115" s="139" t="s">
        <v>258</v>
      </c>
      <c r="G115" s="94"/>
      <c r="H115" s="94"/>
      <c r="I115" s="94"/>
      <c r="J115" s="98"/>
      <c r="K115" s="691"/>
      <c r="L115" s="100"/>
      <c r="M115" s="95"/>
      <c r="N115" s="114"/>
      <c r="O115" s="114"/>
      <c r="P115" s="119"/>
    </row>
    <row r="116" spans="1:16">
      <c r="A116" s="171"/>
      <c r="B116" s="693" t="s">
        <v>259</v>
      </c>
      <c r="C116" s="694"/>
      <c r="D116" s="694"/>
      <c r="E116" s="694"/>
      <c r="F116" s="694"/>
      <c r="G116" s="694"/>
      <c r="H116" s="694"/>
      <c r="I116" s="694"/>
      <c r="J116" s="694"/>
      <c r="K116" s="695"/>
      <c r="L116" s="694"/>
      <c r="M116" s="694"/>
      <c r="N116" s="694"/>
      <c r="O116" s="694"/>
      <c r="P116" s="144"/>
    </row>
    <row r="117" spans="1:16">
      <c r="A117" s="649" t="s">
        <v>71</v>
      </c>
      <c r="B117" s="78">
        <v>46216</v>
      </c>
      <c r="C117" s="78">
        <v>46219</v>
      </c>
      <c r="D117" s="81">
        <v>86</v>
      </c>
      <c r="E117" s="110">
        <v>867994</v>
      </c>
      <c r="F117" s="143" t="s">
        <v>260</v>
      </c>
      <c r="G117" s="81"/>
      <c r="H117" s="81"/>
      <c r="I117" s="81"/>
      <c r="J117" s="81"/>
      <c r="K117" s="691" t="s">
        <v>255</v>
      </c>
      <c r="L117" s="81"/>
      <c r="M117" s="83"/>
      <c r="N117" s="90"/>
      <c r="O117" s="90"/>
      <c r="P117" s="82"/>
    </row>
    <row r="118" spans="1:16">
      <c r="A118" s="651"/>
      <c r="B118" s="78">
        <v>46216</v>
      </c>
      <c r="C118" s="78">
        <v>46219</v>
      </c>
      <c r="D118" s="81">
        <v>86</v>
      </c>
      <c r="E118" s="110">
        <v>22971</v>
      </c>
      <c r="F118" s="143" t="s">
        <v>261</v>
      </c>
      <c r="G118" s="81"/>
      <c r="H118" s="81"/>
      <c r="I118" s="81"/>
      <c r="J118" s="81"/>
      <c r="K118" s="691"/>
      <c r="L118" s="81"/>
      <c r="M118" s="83"/>
      <c r="N118" s="90"/>
      <c r="O118" s="90"/>
      <c r="P118" s="82"/>
    </row>
    <row r="119" spans="1:16">
      <c r="A119" s="651"/>
      <c r="B119" s="78">
        <v>46216</v>
      </c>
      <c r="C119" s="78">
        <v>46219</v>
      </c>
      <c r="D119" s="81">
        <v>86</v>
      </c>
      <c r="E119" s="110">
        <v>3044508</v>
      </c>
      <c r="F119" s="143" t="s">
        <v>262</v>
      </c>
      <c r="G119" s="81"/>
      <c r="H119" s="81"/>
      <c r="I119" s="81"/>
      <c r="J119" s="81"/>
      <c r="K119" s="691"/>
      <c r="L119" s="81"/>
      <c r="M119" s="83"/>
      <c r="N119" s="90"/>
      <c r="O119" s="90"/>
      <c r="P119" s="82"/>
    </row>
    <row r="120" spans="1:16">
      <c r="A120" s="651"/>
      <c r="B120" s="78">
        <v>46216</v>
      </c>
      <c r="C120" s="78">
        <v>46219</v>
      </c>
      <c r="D120" s="81">
        <v>86</v>
      </c>
      <c r="E120" s="66">
        <v>1437020</v>
      </c>
      <c r="F120" s="118" t="s">
        <v>263</v>
      </c>
      <c r="G120" s="81"/>
      <c r="H120" s="81"/>
      <c r="I120" s="81"/>
      <c r="J120" s="81"/>
      <c r="K120" s="691"/>
      <c r="L120" s="81"/>
      <c r="M120" s="83"/>
      <c r="N120" s="90"/>
      <c r="O120" s="90"/>
      <c r="P120" s="82"/>
    </row>
    <row r="121" spans="1:16">
      <c r="A121" s="651"/>
      <c r="B121" s="78">
        <v>46216</v>
      </c>
      <c r="C121" s="78">
        <v>46219</v>
      </c>
      <c r="D121" s="81">
        <v>86</v>
      </c>
      <c r="E121" s="66">
        <v>3781218</v>
      </c>
      <c r="F121" s="118" t="s">
        <v>264</v>
      </c>
      <c r="G121" s="81"/>
      <c r="H121" s="81"/>
      <c r="I121" s="81"/>
      <c r="J121" s="81"/>
      <c r="K121" s="691"/>
      <c r="L121" s="81"/>
      <c r="M121" s="83"/>
      <c r="N121" s="90"/>
      <c r="O121" s="90"/>
      <c r="P121" s="82"/>
    </row>
    <row r="122" spans="1:16">
      <c r="A122" s="651"/>
      <c r="B122" s="78">
        <v>46216</v>
      </c>
      <c r="C122" s="78">
        <v>46219</v>
      </c>
      <c r="D122" s="81">
        <v>86</v>
      </c>
      <c r="E122" s="66">
        <v>1449193</v>
      </c>
      <c r="F122" s="118" t="s">
        <v>265</v>
      </c>
      <c r="G122" s="81"/>
      <c r="H122" s="81"/>
      <c r="I122" s="81"/>
      <c r="J122" s="81"/>
      <c r="K122" s="691"/>
      <c r="L122" s="81"/>
      <c r="M122" s="83"/>
      <c r="N122" s="90"/>
      <c r="O122" s="90"/>
      <c r="P122" s="82"/>
    </row>
    <row r="123" spans="1:16">
      <c r="A123" s="651"/>
      <c r="B123" s="78">
        <v>46216</v>
      </c>
      <c r="C123" s="78">
        <v>46219</v>
      </c>
      <c r="D123" s="81">
        <v>86</v>
      </c>
      <c r="E123" s="66">
        <v>868050</v>
      </c>
      <c r="F123" s="118" t="s">
        <v>266</v>
      </c>
      <c r="G123" s="81"/>
      <c r="H123" s="81"/>
      <c r="I123" s="81"/>
      <c r="J123" s="81"/>
      <c r="K123" s="691"/>
      <c r="L123" s="81"/>
      <c r="M123" s="83"/>
      <c r="N123" s="90"/>
      <c r="O123" s="90"/>
      <c r="P123" s="82"/>
    </row>
    <row r="124" spans="1:16">
      <c r="A124" s="651"/>
      <c r="B124" s="78">
        <v>46216</v>
      </c>
      <c r="C124" s="78">
        <v>46219</v>
      </c>
      <c r="D124" s="81">
        <v>86</v>
      </c>
      <c r="E124" s="66">
        <v>238679</v>
      </c>
      <c r="F124" s="118" t="s">
        <v>267</v>
      </c>
      <c r="G124" s="81"/>
      <c r="H124" s="81"/>
      <c r="I124" s="81"/>
      <c r="J124" s="81"/>
      <c r="K124" s="691"/>
      <c r="L124" s="81"/>
      <c r="M124" s="83"/>
      <c r="N124" s="90"/>
      <c r="O124" s="90"/>
      <c r="P124" s="82"/>
    </row>
    <row r="125" spans="1:16">
      <c r="A125" s="651"/>
      <c r="B125" s="78">
        <v>46216</v>
      </c>
      <c r="C125" s="78">
        <v>46219</v>
      </c>
      <c r="D125" s="81">
        <v>86</v>
      </c>
      <c r="E125" s="66">
        <v>3471803</v>
      </c>
      <c r="F125" s="118" t="s">
        <v>268</v>
      </c>
      <c r="G125" s="81"/>
      <c r="H125" s="81"/>
      <c r="I125" s="81"/>
      <c r="J125" s="81"/>
      <c r="K125" s="691"/>
      <c r="L125" s="81"/>
      <c r="M125" s="83"/>
      <c r="N125" s="90"/>
      <c r="O125" s="90"/>
      <c r="P125" s="82"/>
    </row>
    <row r="126" spans="1:16">
      <c r="A126" s="651"/>
      <c r="B126" s="78">
        <v>46216</v>
      </c>
      <c r="C126" s="78">
        <v>46219</v>
      </c>
      <c r="D126" s="81">
        <v>86</v>
      </c>
      <c r="E126" s="66">
        <v>951338</v>
      </c>
      <c r="F126" s="118" t="s">
        <v>269</v>
      </c>
      <c r="G126" s="81"/>
      <c r="H126" s="81"/>
      <c r="I126" s="81"/>
      <c r="J126" s="81"/>
      <c r="K126" s="691"/>
      <c r="L126" s="81"/>
      <c r="M126" s="83"/>
      <c r="N126" s="90"/>
      <c r="O126" s="90"/>
      <c r="P126" s="82"/>
    </row>
    <row r="127" spans="1:16">
      <c r="A127" s="651"/>
      <c r="B127" s="78">
        <v>46216</v>
      </c>
      <c r="C127" s="78">
        <v>46219</v>
      </c>
      <c r="D127" s="81">
        <v>86</v>
      </c>
      <c r="E127" s="66">
        <v>33097</v>
      </c>
      <c r="F127" s="118" t="s">
        <v>264</v>
      </c>
      <c r="G127" s="81"/>
      <c r="H127" s="81"/>
      <c r="I127" s="81"/>
      <c r="J127" s="81"/>
      <c r="K127" s="691"/>
      <c r="L127" s="81"/>
      <c r="M127" s="83"/>
      <c r="N127" s="90"/>
      <c r="O127" s="90"/>
      <c r="P127" s="82"/>
    </row>
    <row r="128" spans="1:16">
      <c r="A128" s="651"/>
      <c r="B128" s="78">
        <v>46216</v>
      </c>
      <c r="C128" s="78">
        <v>46219</v>
      </c>
      <c r="D128" s="81">
        <v>86</v>
      </c>
      <c r="E128" s="66">
        <v>34242</v>
      </c>
      <c r="F128" s="118" t="s">
        <v>270</v>
      </c>
      <c r="G128" s="81"/>
      <c r="H128" s="81"/>
      <c r="I128" s="81"/>
      <c r="J128" s="81"/>
      <c r="K128" s="691"/>
      <c r="L128" s="81"/>
      <c r="M128" s="83"/>
      <c r="N128" s="90"/>
      <c r="O128" s="90"/>
      <c r="P128" s="82"/>
    </row>
    <row r="129" spans="1:16">
      <c r="A129" s="651"/>
      <c r="B129" s="78">
        <v>46216</v>
      </c>
      <c r="C129" s="78">
        <v>46219</v>
      </c>
      <c r="D129" s="81">
        <v>86</v>
      </c>
      <c r="E129" s="146">
        <v>834798</v>
      </c>
      <c r="F129" s="64" t="s">
        <v>270</v>
      </c>
      <c r="G129" s="94"/>
      <c r="H129" s="94"/>
      <c r="I129" s="94"/>
      <c r="J129" s="94"/>
      <c r="K129" s="692"/>
      <c r="L129" s="94"/>
      <c r="M129" s="95"/>
      <c r="N129" s="114"/>
      <c r="O129" s="114"/>
      <c r="P129" s="119"/>
    </row>
    <row r="130" spans="1:16">
      <c r="A130" s="651"/>
      <c r="B130" s="78">
        <v>46216</v>
      </c>
      <c r="C130" s="78">
        <v>46219</v>
      </c>
      <c r="D130" s="97">
        <v>86</v>
      </c>
      <c r="E130" s="110">
        <v>754510</v>
      </c>
      <c r="F130" s="110" t="s">
        <v>271</v>
      </c>
      <c r="G130" s="81"/>
      <c r="H130" s="81"/>
      <c r="I130" s="81"/>
      <c r="J130" s="81"/>
      <c r="K130" s="701" t="s">
        <v>220</v>
      </c>
      <c r="L130" s="81"/>
      <c r="M130" s="83"/>
      <c r="N130" s="90"/>
      <c r="O130" s="90"/>
      <c r="P130" s="82"/>
    </row>
    <row r="131" spans="1:16">
      <c r="A131" s="651"/>
      <c r="B131" s="78">
        <v>46216</v>
      </c>
      <c r="C131" s="78">
        <v>46219</v>
      </c>
      <c r="D131" s="97">
        <v>86</v>
      </c>
      <c r="E131" s="110">
        <v>3746581</v>
      </c>
      <c r="F131" s="110" t="s">
        <v>272</v>
      </c>
      <c r="G131" s="81"/>
      <c r="H131" s="81"/>
      <c r="I131" s="81"/>
      <c r="J131" s="81"/>
      <c r="K131" s="701"/>
      <c r="L131" s="81"/>
      <c r="M131" s="83"/>
      <c r="N131" s="90"/>
      <c r="O131" s="90"/>
      <c r="P131" s="82"/>
    </row>
    <row r="132" spans="1:16" ht="15">
      <c r="A132" s="651"/>
      <c r="B132" s="78">
        <v>46216</v>
      </c>
      <c r="C132" s="78">
        <v>46219</v>
      </c>
      <c r="D132" s="97">
        <v>86</v>
      </c>
      <c r="E132" s="89"/>
      <c r="F132" s="83"/>
      <c r="G132" s="81"/>
      <c r="H132" s="81"/>
      <c r="I132" s="73">
        <v>1005</v>
      </c>
      <c r="J132" s="145"/>
      <c r="K132" s="148" t="s">
        <v>273</v>
      </c>
      <c r="L132" s="81"/>
      <c r="M132" s="83"/>
      <c r="N132" s="90"/>
      <c r="O132" s="90"/>
      <c r="P132" s="702" t="s">
        <v>274</v>
      </c>
    </row>
    <row r="133" spans="1:16" ht="15.75" customHeight="1">
      <c r="A133" s="651"/>
      <c r="B133" s="78">
        <v>46216</v>
      </c>
      <c r="C133" s="78">
        <v>46219</v>
      </c>
      <c r="D133" s="97">
        <v>86</v>
      </c>
      <c r="E133" s="89"/>
      <c r="F133" s="83"/>
      <c r="G133" s="81"/>
      <c r="H133" s="81"/>
      <c r="I133" s="73">
        <v>1046</v>
      </c>
      <c r="J133" s="145"/>
      <c r="K133" s="148" t="s">
        <v>275</v>
      </c>
      <c r="L133" s="81"/>
      <c r="M133" s="83"/>
      <c r="N133" s="90"/>
      <c r="O133" s="90"/>
      <c r="P133" s="703"/>
    </row>
    <row r="134" spans="1:16" ht="15.75" customHeight="1">
      <c r="A134" s="651"/>
      <c r="B134" s="78">
        <v>46216</v>
      </c>
      <c r="C134" s="78">
        <v>46219</v>
      </c>
      <c r="D134" s="97">
        <v>86</v>
      </c>
      <c r="E134" s="89"/>
      <c r="F134" s="83"/>
      <c r="G134" s="81"/>
      <c r="H134" s="81"/>
      <c r="I134" s="73">
        <v>1050</v>
      </c>
      <c r="J134" s="145"/>
      <c r="K134" s="148" t="s">
        <v>273</v>
      </c>
      <c r="L134" s="81"/>
      <c r="M134" s="83"/>
      <c r="N134" s="90"/>
      <c r="O134" s="90"/>
      <c r="P134" s="703"/>
    </row>
    <row r="135" spans="1:16" ht="15.75" customHeight="1">
      <c r="A135" s="651"/>
      <c r="B135" s="78">
        <v>46216</v>
      </c>
      <c r="C135" s="78">
        <v>46219</v>
      </c>
      <c r="D135" s="97">
        <v>86</v>
      </c>
      <c r="E135" s="89"/>
      <c r="F135" s="83"/>
      <c r="G135" s="81"/>
      <c r="H135" s="81"/>
      <c r="I135" s="73">
        <v>1205</v>
      </c>
      <c r="J135" s="145"/>
      <c r="K135" s="148" t="s">
        <v>276</v>
      </c>
      <c r="L135" s="81"/>
      <c r="M135" s="83"/>
      <c r="N135" s="90"/>
      <c r="O135" s="90"/>
      <c r="P135" s="703"/>
    </row>
    <row r="136" spans="1:16" ht="15.75" customHeight="1">
      <c r="A136" s="651"/>
      <c r="B136" s="78">
        <v>46216</v>
      </c>
      <c r="C136" s="78">
        <v>46219</v>
      </c>
      <c r="D136" s="97">
        <v>86</v>
      </c>
      <c r="E136" s="89"/>
      <c r="F136" s="83"/>
      <c r="G136" s="94"/>
      <c r="H136" s="94"/>
      <c r="I136" s="91">
        <v>1210</v>
      </c>
      <c r="J136" s="147"/>
      <c r="K136" s="149" t="s">
        <v>276</v>
      </c>
      <c r="L136" s="94"/>
      <c r="M136" s="95"/>
      <c r="N136" s="114"/>
      <c r="O136" s="114"/>
      <c r="P136" s="703"/>
    </row>
    <row r="137" spans="1:16">
      <c r="A137" s="651"/>
      <c r="B137" s="78">
        <v>46216</v>
      </c>
      <c r="C137" s="78">
        <v>46219</v>
      </c>
      <c r="D137" s="97">
        <v>86</v>
      </c>
      <c r="E137" s="65">
        <v>352705</v>
      </c>
      <c r="F137" s="117" t="s">
        <v>277</v>
      </c>
      <c r="G137" s="81"/>
      <c r="H137" s="81"/>
      <c r="I137" s="81"/>
      <c r="J137" s="81"/>
      <c r="K137" s="701" t="s">
        <v>255</v>
      </c>
      <c r="L137" s="81"/>
      <c r="M137" s="83"/>
      <c r="N137" s="90"/>
      <c r="O137" s="90"/>
      <c r="P137" s="82"/>
    </row>
    <row r="138" spans="1:16">
      <c r="A138" s="651"/>
      <c r="B138" s="78">
        <v>46216</v>
      </c>
      <c r="C138" s="78">
        <v>46219</v>
      </c>
      <c r="D138" s="97">
        <v>86</v>
      </c>
      <c r="E138" s="66">
        <v>3712469</v>
      </c>
      <c r="F138" s="118" t="s">
        <v>278</v>
      </c>
      <c r="G138" s="81"/>
      <c r="H138" s="81"/>
      <c r="I138" s="81"/>
      <c r="J138" s="81"/>
      <c r="K138" s="701"/>
      <c r="L138" s="81"/>
      <c r="M138" s="83"/>
      <c r="N138" s="90"/>
      <c r="O138" s="90"/>
      <c r="P138" s="82"/>
    </row>
    <row r="139" spans="1:16">
      <c r="A139" s="651"/>
      <c r="B139" s="78">
        <v>46216</v>
      </c>
      <c r="C139" s="78">
        <v>46219</v>
      </c>
      <c r="D139" s="97">
        <v>86</v>
      </c>
      <c r="E139" s="66">
        <v>22919</v>
      </c>
      <c r="F139" s="118" t="s">
        <v>279</v>
      </c>
      <c r="G139" s="94"/>
      <c r="H139" s="94"/>
      <c r="I139" s="94"/>
      <c r="J139" s="94"/>
      <c r="K139" s="649"/>
      <c r="L139" s="94"/>
      <c r="M139" s="95"/>
      <c r="N139" s="114"/>
      <c r="O139" s="114"/>
      <c r="P139" s="119"/>
    </row>
    <row r="140" spans="1:16">
      <c r="A140" s="651"/>
      <c r="B140" s="78">
        <v>46216</v>
      </c>
      <c r="C140" s="78">
        <v>46219</v>
      </c>
      <c r="D140" s="97">
        <v>86</v>
      </c>
      <c r="E140" s="65">
        <v>831392</v>
      </c>
      <c r="F140" s="117" t="s">
        <v>280</v>
      </c>
      <c r="G140" s="81"/>
      <c r="H140" s="81"/>
      <c r="I140" s="81"/>
      <c r="J140" s="81"/>
      <c r="K140" s="649" t="s">
        <v>255</v>
      </c>
      <c r="L140" s="81"/>
      <c r="M140" s="83"/>
      <c r="N140" s="90"/>
      <c r="O140" s="90"/>
      <c r="P140" s="82"/>
    </row>
    <row r="141" spans="1:16">
      <c r="A141" s="651"/>
      <c r="B141" s="78">
        <v>46216</v>
      </c>
      <c r="C141" s="78">
        <v>46219</v>
      </c>
      <c r="D141" s="97">
        <v>86</v>
      </c>
      <c r="E141" s="66">
        <v>212421</v>
      </c>
      <c r="F141" s="118" t="s">
        <v>281</v>
      </c>
      <c r="G141" s="81"/>
      <c r="H141" s="81"/>
      <c r="I141" s="81"/>
      <c r="J141" s="81"/>
      <c r="K141" s="651"/>
      <c r="L141" s="81"/>
      <c r="M141" s="83"/>
      <c r="N141" s="90"/>
      <c r="O141" s="90"/>
      <c r="P141" s="82"/>
    </row>
    <row r="142" spans="1:16">
      <c r="A142" s="651"/>
      <c r="B142" s="78">
        <v>46216</v>
      </c>
      <c r="C142" s="78">
        <v>46219</v>
      </c>
      <c r="D142" s="97">
        <v>86</v>
      </c>
      <c r="E142" s="66">
        <v>565668</v>
      </c>
      <c r="F142" s="118" t="s">
        <v>282</v>
      </c>
      <c r="G142" s="81"/>
      <c r="H142" s="81"/>
      <c r="I142" s="81"/>
      <c r="J142" s="81"/>
      <c r="K142" s="651"/>
      <c r="L142" s="81"/>
      <c r="M142" s="83"/>
      <c r="N142" s="90"/>
      <c r="O142" s="90"/>
      <c r="P142" s="82"/>
    </row>
    <row r="143" spans="1:16">
      <c r="A143" s="650"/>
      <c r="B143" s="138">
        <v>46216</v>
      </c>
      <c r="C143" s="138">
        <v>46219</v>
      </c>
      <c r="D143" s="98">
        <v>86</v>
      </c>
      <c r="E143" s="146">
        <v>3570283</v>
      </c>
      <c r="F143" s="64" t="s">
        <v>283</v>
      </c>
      <c r="G143" s="94"/>
      <c r="H143" s="94"/>
      <c r="I143" s="94"/>
      <c r="J143" s="94"/>
      <c r="K143" s="651"/>
      <c r="L143" s="94"/>
      <c r="M143" s="95"/>
      <c r="N143" s="114"/>
      <c r="O143" s="114"/>
      <c r="P143" s="119"/>
    </row>
    <row r="144" spans="1:16">
      <c r="A144" s="161"/>
      <c r="B144" s="160"/>
      <c r="C144" s="160"/>
      <c r="D144" s="161"/>
      <c r="E144" s="162"/>
      <c r="F144" s="167" t="s">
        <v>284</v>
      </c>
      <c r="G144" s="161"/>
      <c r="H144" s="161"/>
      <c r="I144" s="161"/>
      <c r="J144" s="161"/>
      <c r="K144" s="161"/>
      <c r="L144" s="161"/>
      <c r="M144" s="163"/>
      <c r="N144" s="164"/>
      <c r="O144" s="164"/>
      <c r="P144" s="134"/>
    </row>
    <row r="145" spans="1:16" ht="15">
      <c r="A145" s="649" t="s">
        <v>130</v>
      </c>
      <c r="B145" s="78">
        <v>46200</v>
      </c>
      <c r="C145" s="78">
        <v>46200</v>
      </c>
      <c r="D145" s="81">
        <v>86</v>
      </c>
      <c r="E145" s="110">
        <v>104755</v>
      </c>
      <c r="F145" s="165" t="s">
        <v>285</v>
      </c>
      <c r="G145" s="81"/>
      <c r="H145" s="81"/>
      <c r="I145" s="81"/>
      <c r="J145" s="81"/>
      <c r="K145" s="81"/>
      <c r="L145" s="81"/>
      <c r="M145" s="83"/>
      <c r="N145" s="704">
        <v>0.35</v>
      </c>
      <c r="O145" s="90"/>
      <c r="P145" s="706" t="s">
        <v>135</v>
      </c>
    </row>
    <row r="146" spans="1:16" ht="15.75" customHeight="1">
      <c r="A146" s="651"/>
      <c r="B146" s="78">
        <v>46200</v>
      </c>
      <c r="C146" s="78">
        <v>46200</v>
      </c>
      <c r="D146" s="81">
        <v>86</v>
      </c>
      <c r="E146" s="165">
        <v>1437039</v>
      </c>
      <c r="F146" s="165" t="s">
        <v>286</v>
      </c>
      <c r="G146" s="81"/>
      <c r="H146" s="81"/>
      <c r="I146" s="81"/>
      <c r="J146" s="81"/>
      <c r="K146" s="81"/>
      <c r="L146" s="81"/>
      <c r="M146" s="83"/>
      <c r="N146" s="705"/>
      <c r="O146" s="90"/>
      <c r="P146" s="707"/>
    </row>
    <row r="147" spans="1:16" ht="15.75" customHeight="1">
      <c r="A147" s="651"/>
      <c r="B147" s="78">
        <v>46200</v>
      </c>
      <c r="C147" s="78">
        <v>46200</v>
      </c>
      <c r="D147" s="81">
        <v>86</v>
      </c>
      <c r="E147" s="165">
        <v>22971</v>
      </c>
      <c r="F147" s="165" t="s">
        <v>287</v>
      </c>
      <c r="G147" s="81"/>
      <c r="H147" s="81"/>
      <c r="I147" s="81"/>
      <c r="J147" s="81"/>
      <c r="K147" s="81"/>
      <c r="L147" s="81"/>
      <c r="M147" s="83"/>
      <c r="N147" s="705"/>
      <c r="O147" s="90"/>
      <c r="P147" s="707"/>
    </row>
    <row r="148" spans="1:16" ht="15.75" customHeight="1">
      <c r="A148" s="651"/>
      <c r="B148" s="78">
        <v>46200</v>
      </c>
      <c r="C148" s="78">
        <v>46200</v>
      </c>
      <c r="D148" s="81">
        <v>86</v>
      </c>
      <c r="E148" s="165">
        <v>3044508</v>
      </c>
      <c r="F148" s="165" t="s">
        <v>287</v>
      </c>
      <c r="G148" s="81"/>
      <c r="H148" s="81"/>
      <c r="I148" s="81"/>
      <c r="J148" s="81"/>
      <c r="K148" s="81"/>
      <c r="L148" s="81"/>
      <c r="M148" s="83"/>
      <c r="N148" s="705"/>
      <c r="O148" s="90"/>
      <c r="P148" s="707"/>
    </row>
    <row r="149" spans="1:16" ht="15.75" customHeight="1">
      <c r="A149" s="651"/>
      <c r="B149" s="78">
        <v>46200</v>
      </c>
      <c r="C149" s="78">
        <v>46200</v>
      </c>
      <c r="D149" s="166">
        <v>86</v>
      </c>
      <c r="E149" s="89"/>
      <c r="F149" s="83"/>
      <c r="G149" s="166">
        <v>8624</v>
      </c>
      <c r="H149" s="110" t="s">
        <v>288</v>
      </c>
      <c r="I149" s="110" t="s">
        <v>54</v>
      </c>
      <c r="J149" s="110" t="s">
        <v>54</v>
      </c>
      <c r="K149" s="110" t="s">
        <v>54</v>
      </c>
      <c r="L149" s="81"/>
      <c r="M149" s="83"/>
      <c r="N149" s="705"/>
      <c r="O149" s="90"/>
      <c r="P149" s="707"/>
    </row>
    <row r="150" spans="1:16" ht="15.75" customHeight="1">
      <c r="A150" s="650"/>
      <c r="B150" s="78">
        <v>46200</v>
      </c>
      <c r="C150" s="78">
        <v>46200</v>
      </c>
      <c r="D150" s="166">
        <v>86</v>
      </c>
      <c r="E150" s="89"/>
      <c r="F150" s="83"/>
      <c r="G150" s="416"/>
      <c r="H150" s="139"/>
      <c r="I150" s="139"/>
      <c r="J150" s="139"/>
      <c r="K150" s="139" t="s">
        <v>289</v>
      </c>
      <c r="L150" s="94"/>
      <c r="M150" s="95"/>
      <c r="N150" s="406"/>
      <c r="O150" s="114"/>
      <c r="P150" s="407"/>
    </row>
    <row r="151" spans="1:16">
      <c r="A151" s="171"/>
      <c r="B151" s="160"/>
      <c r="C151" s="160"/>
      <c r="D151" s="161"/>
      <c r="E151" s="162"/>
      <c r="F151" s="167" t="s">
        <v>290</v>
      </c>
      <c r="G151" s="171"/>
      <c r="H151" s="171"/>
      <c r="I151" s="171"/>
      <c r="J151" s="171"/>
      <c r="K151" s="171"/>
      <c r="L151" s="171"/>
      <c r="M151" s="172"/>
      <c r="N151" s="173"/>
      <c r="O151" s="173"/>
      <c r="P151" s="144"/>
    </row>
    <row r="152" spans="1:16" ht="15.75" customHeight="1">
      <c r="A152" s="649" t="s">
        <v>130</v>
      </c>
      <c r="B152" s="96">
        <v>46207</v>
      </c>
      <c r="C152" s="78">
        <v>46207</v>
      </c>
      <c r="D152" s="158">
        <v>86</v>
      </c>
      <c r="E152" s="156">
        <v>455621</v>
      </c>
      <c r="F152" s="168" t="s">
        <v>291</v>
      </c>
      <c r="G152" s="81"/>
      <c r="H152" s="81"/>
      <c r="I152" s="81"/>
      <c r="J152" s="81"/>
      <c r="K152" s="81"/>
      <c r="L152" s="81"/>
      <c r="M152" s="83"/>
      <c r="N152" s="708">
        <v>0.35</v>
      </c>
      <c r="O152" s="90"/>
      <c r="P152" s="648" t="s">
        <v>135</v>
      </c>
    </row>
    <row r="153" spans="1:16" ht="15.75" customHeight="1">
      <c r="A153" s="651"/>
      <c r="B153" s="96">
        <v>46207</v>
      </c>
      <c r="C153" s="78">
        <v>46207</v>
      </c>
      <c r="D153" s="159">
        <v>86</v>
      </c>
      <c r="E153" s="157">
        <v>372437</v>
      </c>
      <c r="F153" s="169" t="s">
        <v>292</v>
      </c>
      <c r="G153" s="81"/>
      <c r="H153" s="81"/>
      <c r="I153" s="81"/>
      <c r="J153" s="81"/>
      <c r="K153" s="81"/>
      <c r="L153" s="81"/>
      <c r="M153" s="83"/>
      <c r="N153" s="709"/>
      <c r="O153" s="90"/>
      <c r="P153" s="700"/>
    </row>
    <row r="154" spans="1:16" ht="15.75" customHeight="1">
      <c r="A154" s="651"/>
      <c r="B154" s="96">
        <v>46207</v>
      </c>
      <c r="C154" s="78">
        <v>46207</v>
      </c>
      <c r="D154" s="159">
        <v>86</v>
      </c>
      <c r="E154" s="157">
        <v>875817</v>
      </c>
      <c r="F154" s="169" t="s">
        <v>293</v>
      </c>
      <c r="G154" s="81"/>
      <c r="H154" s="81"/>
      <c r="I154" s="81"/>
      <c r="J154" s="81"/>
      <c r="K154" s="81"/>
      <c r="L154" s="81"/>
      <c r="M154" s="83"/>
      <c r="N154" s="709"/>
      <c r="O154" s="90"/>
      <c r="P154" s="700"/>
    </row>
    <row r="155" spans="1:16" ht="15.75" customHeight="1">
      <c r="A155" s="651"/>
      <c r="B155" s="96">
        <v>46207</v>
      </c>
      <c r="C155" s="78">
        <v>46207</v>
      </c>
      <c r="D155" s="159">
        <v>86</v>
      </c>
      <c r="E155" s="157">
        <v>64329</v>
      </c>
      <c r="F155" s="169" t="s">
        <v>294</v>
      </c>
      <c r="G155" s="81"/>
      <c r="H155" s="81"/>
      <c r="I155" s="81"/>
      <c r="J155" s="81"/>
      <c r="K155" s="81"/>
      <c r="L155" s="81"/>
      <c r="M155" s="83"/>
      <c r="N155" s="709"/>
      <c r="O155" s="90"/>
      <c r="P155" s="700"/>
    </row>
    <row r="156" spans="1:16" ht="15.75" customHeight="1">
      <c r="A156" s="651"/>
      <c r="B156" s="96">
        <v>46207</v>
      </c>
      <c r="C156" s="78">
        <v>46207</v>
      </c>
      <c r="D156" s="159">
        <v>86</v>
      </c>
      <c r="E156" s="89"/>
      <c r="F156" s="170"/>
      <c r="G156" s="166">
        <v>8624</v>
      </c>
      <c r="H156" s="110" t="s">
        <v>288</v>
      </c>
      <c r="I156" s="110" t="s">
        <v>54</v>
      </c>
      <c r="J156" s="110" t="s">
        <v>54</v>
      </c>
      <c r="K156" s="110" t="s">
        <v>54</v>
      </c>
      <c r="L156" s="81"/>
      <c r="M156" s="83"/>
      <c r="N156" s="709"/>
      <c r="O156" s="90"/>
      <c r="P156" s="661"/>
    </row>
    <row r="157" spans="1:16" ht="15.75" customHeight="1">
      <c r="A157" s="650"/>
      <c r="B157" s="96">
        <v>46207</v>
      </c>
      <c r="C157" s="78">
        <v>46207</v>
      </c>
      <c r="D157" s="159">
        <v>86</v>
      </c>
      <c r="E157" s="89"/>
      <c r="F157" s="231"/>
      <c r="G157" s="416"/>
      <c r="H157" s="139"/>
      <c r="I157" s="139"/>
      <c r="J157" s="139"/>
      <c r="K157" s="139" t="s">
        <v>289</v>
      </c>
      <c r="L157" s="94"/>
      <c r="M157" s="95"/>
      <c r="N157" s="408"/>
      <c r="O157" s="114"/>
      <c r="P157" s="415"/>
    </row>
    <row r="158" spans="1:16">
      <c r="A158" s="161"/>
      <c r="B158" s="174"/>
      <c r="C158" s="160"/>
      <c r="D158" s="161"/>
      <c r="E158" s="162"/>
      <c r="F158" s="182" t="s">
        <v>295</v>
      </c>
      <c r="G158" s="171"/>
      <c r="H158" s="171"/>
      <c r="I158" s="171"/>
      <c r="J158" s="171"/>
      <c r="K158" s="171"/>
      <c r="L158" s="171"/>
      <c r="M158" s="172"/>
      <c r="N158" s="173"/>
      <c r="O158" s="173"/>
      <c r="P158" s="144"/>
    </row>
    <row r="159" spans="1:16" ht="15.75" customHeight="1">
      <c r="A159" s="649" t="s">
        <v>130</v>
      </c>
      <c r="B159" s="96">
        <v>46214</v>
      </c>
      <c r="C159" s="96">
        <v>46214</v>
      </c>
      <c r="D159" s="158">
        <v>86</v>
      </c>
      <c r="E159" s="178">
        <v>876865</v>
      </c>
      <c r="F159" s="175" t="s">
        <v>296</v>
      </c>
      <c r="G159" s="81"/>
      <c r="H159" s="81"/>
      <c r="I159" s="81"/>
      <c r="J159" s="81"/>
      <c r="K159" s="81"/>
      <c r="L159" s="81"/>
      <c r="M159" s="83"/>
      <c r="N159" s="708">
        <v>0.35</v>
      </c>
      <c r="O159" s="90"/>
      <c r="P159" s="648" t="s">
        <v>135</v>
      </c>
    </row>
    <row r="160" spans="1:16" ht="15.75" customHeight="1">
      <c r="A160" s="651"/>
      <c r="B160" s="96">
        <v>46214</v>
      </c>
      <c r="C160" s="96">
        <v>46214</v>
      </c>
      <c r="D160" s="159">
        <v>86</v>
      </c>
      <c r="E160" s="179">
        <v>84190</v>
      </c>
      <c r="F160" s="165" t="s">
        <v>297</v>
      </c>
      <c r="G160" s="81"/>
      <c r="H160" s="81"/>
      <c r="I160" s="81"/>
      <c r="J160" s="81"/>
      <c r="K160" s="81"/>
      <c r="L160" s="81"/>
      <c r="M160" s="83"/>
      <c r="N160" s="709"/>
      <c r="O160" s="90"/>
      <c r="P160" s="700"/>
    </row>
    <row r="161" spans="1:16" ht="15.75" customHeight="1">
      <c r="A161" s="651"/>
      <c r="B161" s="96">
        <v>46214</v>
      </c>
      <c r="C161" s="96">
        <v>46214</v>
      </c>
      <c r="D161" s="159">
        <v>86</v>
      </c>
      <c r="E161" s="179">
        <v>22955</v>
      </c>
      <c r="F161" s="175" t="s">
        <v>298</v>
      </c>
      <c r="G161" s="81"/>
      <c r="H161" s="81"/>
      <c r="I161" s="81"/>
      <c r="J161" s="81"/>
      <c r="K161" s="81"/>
      <c r="L161" s="81"/>
      <c r="M161" s="83"/>
      <c r="N161" s="709"/>
      <c r="O161" s="90"/>
      <c r="P161" s="700"/>
    </row>
    <row r="162" spans="1:16" ht="15.75" customHeight="1">
      <c r="A162" s="651"/>
      <c r="B162" s="96">
        <v>46214</v>
      </c>
      <c r="C162" s="96">
        <v>46214</v>
      </c>
      <c r="D162" s="159">
        <v>86</v>
      </c>
      <c r="E162" s="179">
        <v>1437023</v>
      </c>
      <c r="F162" s="165" t="s">
        <v>299</v>
      </c>
      <c r="G162" s="81"/>
      <c r="H162" s="81"/>
      <c r="I162" s="81"/>
      <c r="J162" s="81"/>
      <c r="K162" s="81"/>
      <c r="L162" s="81"/>
      <c r="M162" s="83"/>
      <c r="N162" s="709"/>
      <c r="O162" s="90"/>
      <c r="P162" s="700"/>
    </row>
    <row r="163" spans="1:16" ht="15.75" customHeight="1">
      <c r="A163" s="651"/>
      <c r="B163" s="96">
        <v>46214</v>
      </c>
      <c r="C163" s="96">
        <v>46214</v>
      </c>
      <c r="D163" s="159">
        <v>86</v>
      </c>
      <c r="E163" s="179">
        <v>3641886</v>
      </c>
      <c r="F163" s="175" t="s">
        <v>300</v>
      </c>
      <c r="G163" s="81"/>
      <c r="H163" s="81"/>
      <c r="I163" s="81"/>
      <c r="J163" s="81"/>
      <c r="K163" s="81"/>
      <c r="L163" s="81"/>
      <c r="M163" s="83"/>
      <c r="N163" s="709"/>
      <c r="O163" s="90"/>
      <c r="P163" s="700"/>
    </row>
    <row r="164" spans="1:16" ht="15.75" customHeight="1">
      <c r="A164" s="651"/>
      <c r="B164" s="96">
        <v>46214</v>
      </c>
      <c r="C164" s="96">
        <v>46214</v>
      </c>
      <c r="D164" s="159">
        <v>86</v>
      </c>
      <c r="E164" s="179">
        <v>860440</v>
      </c>
      <c r="F164" s="175" t="s">
        <v>301</v>
      </c>
      <c r="G164" s="81"/>
      <c r="H164" s="81"/>
      <c r="I164" s="81"/>
      <c r="J164" s="81"/>
      <c r="K164" s="81"/>
      <c r="L164" s="81"/>
      <c r="M164" s="83"/>
      <c r="N164" s="709"/>
      <c r="O164" s="90"/>
      <c r="P164" s="700"/>
    </row>
    <row r="165" spans="1:16" ht="15.75" customHeight="1">
      <c r="A165" s="651"/>
      <c r="B165" s="96">
        <v>46214</v>
      </c>
      <c r="C165" s="96">
        <v>46214</v>
      </c>
      <c r="D165" s="159">
        <v>86</v>
      </c>
      <c r="E165" s="179">
        <v>28282</v>
      </c>
      <c r="F165" s="175" t="s">
        <v>301</v>
      </c>
      <c r="G165" s="81"/>
      <c r="H165" s="81"/>
      <c r="I165" s="81"/>
      <c r="J165" s="81"/>
      <c r="K165" s="81"/>
      <c r="L165" s="81"/>
      <c r="M165" s="83"/>
      <c r="N165" s="709"/>
      <c r="O165" s="90"/>
      <c r="P165" s="700"/>
    </row>
    <row r="166" spans="1:16" ht="15.75" customHeight="1">
      <c r="A166" s="651"/>
      <c r="B166" s="96">
        <v>46214</v>
      </c>
      <c r="C166" s="96">
        <v>46214</v>
      </c>
      <c r="D166" s="159">
        <v>86</v>
      </c>
      <c r="E166" s="180">
        <v>1437006</v>
      </c>
      <c r="F166" s="175" t="s">
        <v>302</v>
      </c>
      <c r="G166" s="81"/>
      <c r="H166" s="81"/>
      <c r="I166" s="81"/>
      <c r="J166" s="81"/>
      <c r="K166" s="81"/>
      <c r="L166" s="81"/>
      <c r="M166" s="83"/>
      <c r="N166" s="709"/>
      <c r="O166" s="90"/>
      <c r="P166" s="700"/>
    </row>
    <row r="167" spans="1:16" ht="15.75" customHeight="1">
      <c r="A167" s="651"/>
      <c r="B167" s="96">
        <v>46214</v>
      </c>
      <c r="C167" s="96">
        <v>46214</v>
      </c>
      <c r="D167" s="177">
        <v>86</v>
      </c>
      <c r="E167" s="181"/>
      <c r="F167" s="83"/>
      <c r="G167" s="166">
        <v>8624</v>
      </c>
      <c r="H167" s="110" t="s">
        <v>288</v>
      </c>
      <c r="I167" s="110" t="s">
        <v>54</v>
      </c>
      <c r="J167" s="110" t="s">
        <v>54</v>
      </c>
      <c r="K167" s="110" t="s">
        <v>54</v>
      </c>
      <c r="L167" s="81"/>
      <c r="M167" s="83"/>
      <c r="N167" s="709"/>
      <c r="O167" s="90"/>
      <c r="P167" s="700"/>
    </row>
    <row r="168" spans="1:16" ht="15.75" customHeight="1">
      <c r="A168" s="650"/>
      <c r="B168" s="186">
        <v>46214</v>
      </c>
      <c r="C168" s="186">
        <v>46214</v>
      </c>
      <c r="D168" s="187">
        <v>86</v>
      </c>
      <c r="E168" s="188"/>
      <c r="F168" s="95"/>
      <c r="G168" s="139" t="s">
        <v>54</v>
      </c>
      <c r="H168" s="139" t="s">
        <v>54</v>
      </c>
      <c r="I168" s="139" t="s">
        <v>54</v>
      </c>
      <c r="J168" s="139" t="s">
        <v>54</v>
      </c>
      <c r="K168" s="139" t="s">
        <v>289</v>
      </c>
      <c r="L168" s="94"/>
      <c r="M168" s="95"/>
      <c r="N168" s="408"/>
      <c r="O168" s="114"/>
      <c r="P168" s="661"/>
    </row>
    <row r="169" spans="1:16">
      <c r="A169" s="161"/>
      <c r="B169" s="160"/>
      <c r="C169" s="160"/>
      <c r="D169" s="161"/>
      <c r="E169" s="162"/>
      <c r="F169" s="167" t="s">
        <v>137</v>
      </c>
      <c r="G169" s="161"/>
      <c r="H169" s="161"/>
      <c r="I169" s="161"/>
      <c r="J169" s="161"/>
      <c r="K169" s="161"/>
      <c r="L169" s="161"/>
      <c r="M169" s="163"/>
      <c r="N169" s="164"/>
      <c r="O169" s="164"/>
      <c r="P169" s="134"/>
    </row>
    <row r="170" spans="1:16">
      <c r="A170" s="81" t="s">
        <v>71</v>
      </c>
      <c r="B170" s="52">
        <v>46199</v>
      </c>
      <c r="C170" s="78">
        <v>46219</v>
      </c>
      <c r="D170" s="166">
        <v>86</v>
      </c>
      <c r="E170" s="175">
        <v>641488</v>
      </c>
      <c r="F170" s="175" t="s">
        <v>303</v>
      </c>
      <c r="G170" s="81"/>
      <c r="H170" s="81"/>
      <c r="I170" s="81"/>
      <c r="J170" s="81"/>
      <c r="K170" s="81"/>
      <c r="L170" s="65">
        <v>90000</v>
      </c>
      <c r="M170" s="185" t="s">
        <v>304</v>
      </c>
      <c r="N170" s="26">
        <v>0.2</v>
      </c>
      <c r="O170" s="90"/>
      <c r="P170" s="82"/>
    </row>
    <row r="171" spans="1:16">
      <c r="A171" s="649" t="s">
        <v>71</v>
      </c>
      <c r="B171" s="52">
        <v>46199</v>
      </c>
      <c r="C171" s="78">
        <v>46219</v>
      </c>
      <c r="D171" s="166">
        <v>86</v>
      </c>
      <c r="E171" s="106">
        <v>1030607</v>
      </c>
      <c r="F171" s="110" t="s">
        <v>305</v>
      </c>
      <c r="G171" s="81"/>
      <c r="H171" s="81"/>
      <c r="I171" s="81"/>
      <c r="J171" s="81"/>
      <c r="K171" s="81"/>
      <c r="L171" s="66">
        <v>50000</v>
      </c>
      <c r="M171" s="176" t="s">
        <v>306</v>
      </c>
      <c r="N171" s="530">
        <v>15200</v>
      </c>
      <c r="O171" s="90"/>
      <c r="P171" s="82"/>
    </row>
    <row r="172" spans="1:16">
      <c r="A172" s="650"/>
      <c r="B172" s="52">
        <v>46199</v>
      </c>
      <c r="C172" s="78">
        <v>46219</v>
      </c>
      <c r="D172" s="166">
        <v>86</v>
      </c>
      <c r="E172" s="110">
        <v>1030608</v>
      </c>
      <c r="F172" s="110" t="s">
        <v>307</v>
      </c>
      <c r="G172" s="81"/>
      <c r="H172" s="81"/>
      <c r="I172" s="81"/>
      <c r="J172" s="81"/>
      <c r="K172" s="81"/>
      <c r="L172" s="66">
        <v>50000</v>
      </c>
      <c r="M172" s="176" t="s">
        <v>306</v>
      </c>
      <c r="N172" s="530">
        <v>31900</v>
      </c>
      <c r="O172" s="90"/>
      <c r="P172" s="82"/>
    </row>
    <row r="173" spans="1:16">
      <c r="A173" s="81"/>
      <c r="B173" s="52">
        <v>46199</v>
      </c>
      <c r="C173" s="78">
        <v>46219</v>
      </c>
      <c r="D173" s="166">
        <v>86</v>
      </c>
      <c r="E173" s="110">
        <v>3616881</v>
      </c>
      <c r="F173" s="110" t="s">
        <v>308</v>
      </c>
      <c r="G173" s="81"/>
      <c r="H173" s="81"/>
      <c r="I173" s="81"/>
      <c r="J173" s="81"/>
      <c r="K173" s="81"/>
      <c r="L173" s="66">
        <v>50000</v>
      </c>
      <c r="M173" s="176" t="s">
        <v>306</v>
      </c>
      <c r="N173" s="530">
        <v>12900</v>
      </c>
      <c r="O173" s="90"/>
      <c r="P173" s="82"/>
    </row>
    <row r="174" spans="1:16">
      <c r="A174" s="81"/>
      <c r="B174" s="52">
        <v>46199</v>
      </c>
      <c r="C174" s="78">
        <v>46219</v>
      </c>
      <c r="D174" s="166">
        <v>86</v>
      </c>
      <c r="E174" s="110">
        <v>3206849</v>
      </c>
      <c r="F174" s="110" t="s">
        <v>309</v>
      </c>
      <c r="G174" s="81"/>
      <c r="H174" s="81"/>
      <c r="I174" s="81"/>
      <c r="J174" s="81"/>
      <c r="K174" s="81"/>
      <c r="L174" s="66">
        <v>17798</v>
      </c>
      <c r="M174" s="176" t="s">
        <v>76</v>
      </c>
      <c r="N174" s="530">
        <v>11400</v>
      </c>
      <c r="O174" s="90"/>
      <c r="P174" s="82"/>
    </row>
  </sheetData>
  <mergeCells count="64">
    <mergeCell ref="P152:P156"/>
    <mergeCell ref="P159:P168"/>
    <mergeCell ref="A145:A150"/>
    <mergeCell ref="A152:A157"/>
    <mergeCell ref="K130:K131"/>
    <mergeCell ref="P132:P136"/>
    <mergeCell ref="K137:K139"/>
    <mergeCell ref="K140:K143"/>
    <mergeCell ref="N145:N149"/>
    <mergeCell ref="P145:P149"/>
    <mergeCell ref="N152:N156"/>
    <mergeCell ref="N159:N167"/>
    <mergeCell ref="K112:K115"/>
    <mergeCell ref="B116:O116"/>
    <mergeCell ref="K117:K129"/>
    <mergeCell ref="K69:K75"/>
    <mergeCell ref="K76:K79"/>
    <mergeCell ref="B82:O82"/>
    <mergeCell ref="K88:K92"/>
    <mergeCell ref="K93:K104"/>
    <mergeCell ref="K83:K87"/>
    <mergeCell ref="K35:K41"/>
    <mergeCell ref="K42:K61"/>
    <mergeCell ref="P42:P61"/>
    <mergeCell ref="K62:K68"/>
    <mergeCell ref="K105:K111"/>
    <mergeCell ref="F31:F32"/>
    <mergeCell ref="P31:P32"/>
    <mergeCell ref="A33:O33"/>
    <mergeCell ref="F28:F30"/>
    <mergeCell ref="B34:O34"/>
    <mergeCell ref="F21:F23"/>
    <mergeCell ref="N21:O23"/>
    <mergeCell ref="P21:P23"/>
    <mergeCell ref="P16:P18"/>
    <mergeCell ref="A2:O2"/>
    <mergeCell ref="N3:O3"/>
    <mergeCell ref="N4:O4"/>
    <mergeCell ref="B12:C12"/>
    <mergeCell ref="A13:O13"/>
    <mergeCell ref="A3:A4"/>
    <mergeCell ref="F14:F15"/>
    <mergeCell ref="P14:P15"/>
    <mergeCell ref="P19:P20"/>
    <mergeCell ref="F19:F20"/>
    <mergeCell ref="N16:O18"/>
    <mergeCell ref="F16:F18"/>
    <mergeCell ref="A171:A172"/>
    <mergeCell ref="A35:A81"/>
    <mergeCell ref="A117:A143"/>
    <mergeCell ref="A83:A115"/>
    <mergeCell ref="A14:A18"/>
    <mergeCell ref="A21:A23"/>
    <mergeCell ref="A31:A32"/>
    <mergeCell ref="A159:A168"/>
    <mergeCell ref="A24:A25"/>
    <mergeCell ref="A19:A20"/>
    <mergeCell ref="F24:F25"/>
    <mergeCell ref="P24:P25"/>
    <mergeCell ref="F26:F27"/>
    <mergeCell ref="P26:P27"/>
    <mergeCell ref="A26:A30"/>
    <mergeCell ref="N28:O30"/>
    <mergeCell ref="P28:P30"/>
  </mergeCells>
  <phoneticPr fontId="19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09CD-D3F0-4B64-B4BB-2D93D532947B}">
  <sheetPr>
    <tabColor theme="4" tint="0.79998168889431442"/>
  </sheetPr>
  <dimension ref="A1:S19"/>
  <sheetViews>
    <sheetView topLeftCell="B1" zoomScale="86" zoomScaleNormal="86" workbookViewId="0">
      <pane ySplit="1" topLeftCell="A2" activePane="bottomLeft" state="frozen"/>
      <selection pane="bottomLeft" activeCell="D1" sqref="D1:D1048576"/>
    </sheetView>
  </sheetViews>
  <sheetFormatPr baseColWidth="10" defaultColWidth="11.42578125" defaultRowHeight="15.75"/>
  <cols>
    <col min="1" max="1" width="8.28515625" bestFit="1" customWidth="1"/>
    <col min="2" max="2" width="12.28515625" style="25" bestFit="1" customWidth="1"/>
    <col min="3" max="3" width="13.28515625" style="25" customWidth="1"/>
    <col min="4" max="4" width="11.85546875" style="8" bestFit="1" customWidth="1"/>
    <col min="5" max="5" width="17" style="41" customWidth="1"/>
    <col min="6" max="6" width="45" style="11" customWidth="1"/>
    <col min="7" max="7" width="15" style="8" customWidth="1"/>
    <col min="8" max="8" width="18.140625" style="8" customWidth="1"/>
    <col min="9" max="9" width="10" style="8" customWidth="1"/>
    <col min="10" max="11" width="12.5703125" style="8" customWidth="1"/>
    <col min="12" max="12" width="10.42578125" style="8" customWidth="1"/>
    <col min="13" max="13" width="22.7109375" style="11" customWidth="1"/>
    <col min="14" max="14" width="23.140625" style="26" customWidth="1"/>
    <col min="15" max="15" width="16.28515625" style="26" bestFit="1" customWidth="1"/>
    <col min="16" max="16" width="32.42578125" style="22" customWidth="1"/>
    <col min="17" max="17" width="29.140625" customWidth="1"/>
    <col min="18" max="18" width="20.85546875" customWidth="1"/>
    <col min="19" max="19" width="13.85546875" bestFit="1" customWidth="1"/>
  </cols>
  <sheetData>
    <row r="1" spans="1:19" s="10" customFormat="1">
      <c r="A1" s="31" t="s">
        <v>65</v>
      </c>
      <c r="B1" s="15" t="s">
        <v>66</v>
      </c>
      <c r="C1" s="15" t="s">
        <v>67</v>
      </c>
      <c r="D1" s="15" t="s">
        <v>3</v>
      </c>
      <c r="E1" s="14" t="s">
        <v>11</v>
      </c>
      <c r="F1" s="14" t="s">
        <v>68</v>
      </c>
      <c r="G1" s="15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13</v>
      </c>
      <c r="O1" s="14" t="s">
        <v>14</v>
      </c>
      <c r="P1" s="14" t="s">
        <v>70</v>
      </c>
      <c r="Q1" s="36" t="s">
        <v>19</v>
      </c>
      <c r="R1" s="40"/>
      <c r="S1" s="40"/>
    </row>
    <row r="2" spans="1:19">
      <c r="A2" s="130"/>
      <c r="B2" s="160"/>
      <c r="C2" s="160"/>
      <c r="D2" s="161"/>
      <c r="E2" s="162"/>
      <c r="F2" s="167" t="s">
        <v>137</v>
      </c>
      <c r="G2" s="161"/>
      <c r="H2" s="161"/>
      <c r="I2" s="161"/>
      <c r="J2" s="161"/>
      <c r="K2" s="161"/>
      <c r="L2" s="161"/>
      <c r="M2" s="163"/>
      <c r="N2" s="173"/>
      <c r="O2" s="164"/>
      <c r="P2" s="134"/>
      <c r="Q2" s="22"/>
      <c r="R2" s="22"/>
    </row>
    <row r="3" spans="1:19">
      <c r="A3" s="7" t="s">
        <v>71</v>
      </c>
      <c r="B3" s="52">
        <v>46199</v>
      </c>
      <c r="C3" s="78">
        <v>46219</v>
      </c>
      <c r="D3" s="7">
        <v>82</v>
      </c>
      <c r="E3" s="342">
        <v>1333695</v>
      </c>
      <c r="F3" s="65" t="s">
        <v>310</v>
      </c>
      <c r="G3" s="28"/>
      <c r="H3" s="7"/>
      <c r="I3" s="7"/>
      <c r="J3" s="7"/>
      <c r="K3" s="7"/>
      <c r="L3" s="7"/>
      <c r="M3" s="253"/>
      <c r="N3" s="597" t="s">
        <v>311</v>
      </c>
      <c r="O3" s="254"/>
      <c r="P3" s="23"/>
      <c r="Q3" s="22"/>
      <c r="R3" s="22"/>
    </row>
    <row r="4" spans="1:19">
      <c r="A4" s="7" t="s">
        <v>71</v>
      </c>
      <c r="B4" s="52">
        <v>46199</v>
      </c>
      <c r="C4" s="78">
        <v>46219</v>
      </c>
      <c r="D4" s="7">
        <v>82</v>
      </c>
      <c r="E4" s="66">
        <v>3220541</v>
      </c>
      <c r="F4" s="66" t="s">
        <v>312</v>
      </c>
      <c r="G4" s="28"/>
      <c r="H4" s="7"/>
      <c r="I4" s="7"/>
      <c r="J4" s="7"/>
      <c r="K4" s="7"/>
      <c r="L4" s="7"/>
      <c r="M4" s="253"/>
      <c r="N4" s="597" t="s">
        <v>313</v>
      </c>
      <c r="O4" s="254"/>
      <c r="P4" s="23"/>
      <c r="Q4" s="22"/>
      <c r="R4" s="22"/>
    </row>
    <row r="5" spans="1:19">
      <c r="A5" s="255"/>
      <c r="B5" s="256"/>
      <c r="C5" s="256"/>
      <c r="D5" s="257"/>
      <c r="E5" s="568"/>
      <c r="F5" s="569" t="s">
        <v>314</v>
      </c>
      <c r="G5" s="570"/>
      <c r="H5" s="570"/>
      <c r="I5" s="570"/>
      <c r="J5" s="570"/>
      <c r="K5" s="570"/>
      <c r="L5" s="570"/>
      <c r="M5" s="571"/>
      <c r="N5" s="258"/>
      <c r="O5" s="258"/>
      <c r="P5" s="572"/>
      <c r="Q5" s="22"/>
      <c r="R5" s="22"/>
    </row>
    <row r="6" spans="1:19">
      <c r="A6" s="7" t="s">
        <v>130</v>
      </c>
      <c r="B6" s="52">
        <v>46203</v>
      </c>
      <c r="C6" s="78">
        <v>46204</v>
      </c>
      <c r="D6" s="74">
        <v>82</v>
      </c>
      <c r="E6" s="576">
        <v>1232624</v>
      </c>
      <c r="F6" s="83" t="s">
        <v>315</v>
      </c>
      <c r="G6" s="81"/>
      <c r="H6" s="81"/>
      <c r="I6" s="81"/>
      <c r="J6" s="81"/>
      <c r="K6" s="81"/>
      <c r="L6" s="81"/>
      <c r="M6" s="83" t="s">
        <v>41</v>
      </c>
      <c r="N6" s="567">
        <v>0.4</v>
      </c>
      <c r="O6" s="567"/>
      <c r="P6" s="82"/>
      <c r="Q6" s="22"/>
      <c r="R6" s="22"/>
    </row>
    <row r="7" spans="1:19">
      <c r="A7" s="7" t="s">
        <v>130</v>
      </c>
      <c r="B7" s="78">
        <v>46204</v>
      </c>
      <c r="C7" s="78">
        <v>46204</v>
      </c>
      <c r="D7" s="7">
        <v>82</v>
      </c>
      <c r="E7" s="573">
        <v>392409</v>
      </c>
      <c r="F7" s="574" t="s">
        <v>316</v>
      </c>
      <c r="G7" s="189"/>
      <c r="H7" s="76"/>
      <c r="I7" s="76"/>
      <c r="J7" s="76"/>
      <c r="K7" s="76"/>
      <c r="L7" s="76"/>
      <c r="M7" s="199" t="s">
        <v>50</v>
      </c>
      <c r="N7" s="575">
        <v>0.2</v>
      </c>
      <c r="O7" s="201"/>
      <c r="P7" s="202"/>
      <c r="Q7" s="22"/>
      <c r="R7" s="22"/>
    </row>
    <row r="8" spans="1:19">
      <c r="A8" s="7" t="s">
        <v>130</v>
      </c>
      <c r="B8" s="78">
        <v>46207</v>
      </c>
      <c r="C8" s="78">
        <v>46208</v>
      </c>
      <c r="D8" s="7">
        <v>82</v>
      </c>
      <c r="E8" s="566">
        <v>761162</v>
      </c>
      <c r="F8" s="57" t="s">
        <v>317</v>
      </c>
      <c r="G8" s="28"/>
      <c r="H8" s="7"/>
      <c r="I8" s="7"/>
      <c r="J8" s="7"/>
      <c r="K8" s="7"/>
      <c r="L8" s="7"/>
      <c r="M8" s="199" t="s">
        <v>50</v>
      </c>
      <c r="N8" s="567">
        <v>0.4</v>
      </c>
      <c r="O8" s="45"/>
      <c r="P8" s="23"/>
      <c r="Q8" s="22"/>
      <c r="R8" s="22"/>
    </row>
    <row r="9" spans="1:19">
      <c r="A9" s="7" t="s">
        <v>130</v>
      </c>
      <c r="B9" s="78">
        <v>46207</v>
      </c>
      <c r="C9" s="78">
        <v>46208</v>
      </c>
      <c r="D9" s="7">
        <v>82</v>
      </c>
      <c r="E9" s="566">
        <v>299575</v>
      </c>
      <c r="F9" s="577" t="s">
        <v>318</v>
      </c>
      <c r="G9" s="28"/>
      <c r="H9" s="7"/>
      <c r="I9" s="7"/>
      <c r="J9" s="7"/>
      <c r="K9" s="7"/>
      <c r="L9" s="7"/>
      <c r="M9" s="9" t="s">
        <v>319</v>
      </c>
      <c r="N9" s="67">
        <v>0.25</v>
      </c>
      <c r="O9" s="45"/>
      <c r="P9" s="23"/>
      <c r="Q9" s="22"/>
      <c r="R9" s="22"/>
    </row>
    <row r="10" spans="1:19">
      <c r="A10" s="7" t="s">
        <v>130</v>
      </c>
      <c r="B10" s="78">
        <v>46207</v>
      </c>
      <c r="C10" s="78">
        <v>46208</v>
      </c>
      <c r="D10" s="7">
        <v>82</v>
      </c>
      <c r="E10" s="566">
        <v>1037843</v>
      </c>
      <c r="F10" s="577" t="s">
        <v>320</v>
      </c>
      <c r="G10" s="28"/>
      <c r="H10" s="7"/>
      <c r="I10" s="7"/>
      <c r="J10" s="7"/>
      <c r="K10" s="7"/>
      <c r="L10" s="7"/>
      <c r="M10" s="9" t="s">
        <v>41</v>
      </c>
      <c r="N10" s="67">
        <v>0.25</v>
      </c>
      <c r="O10" s="45"/>
      <c r="P10" s="23"/>
      <c r="Q10" s="22"/>
      <c r="R10" s="22"/>
    </row>
    <row r="11" spans="1:19">
      <c r="A11" s="7" t="s">
        <v>130</v>
      </c>
      <c r="B11" s="78">
        <v>46207</v>
      </c>
      <c r="C11" s="78">
        <v>46208</v>
      </c>
      <c r="D11" s="7">
        <v>82</v>
      </c>
      <c r="E11" s="566">
        <v>172836</v>
      </c>
      <c r="F11" s="57" t="s">
        <v>321</v>
      </c>
      <c r="G11" s="28"/>
      <c r="H11" s="7"/>
      <c r="I11" s="7"/>
      <c r="J11" s="7"/>
      <c r="K11" s="7"/>
      <c r="L11" s="7"/>
      <c r="M11" s="9" t="s">
        <v>322</v>
      </c>
      <c r="N11" s="67">
        <v>0.25</v>
      </c>
      <c r="O11" s="45"/>
      <c r="P11" s="23"/>
      <c r="Q11" s="22"/>
      <c r="R11" s="22"/>
    </row>
    <row r="12" spans="1:19">
      <c r="A12" s="7" t="s">
        <v>130</v>
      </c>
      <c r="B12" s="78">
        <v>46207</v>
      </c>
      <c r="C12" s="78">
        <v>46208</v>
      </c>
      <c r="D12" s="7">
        <v>82</v>
      </c>
      <c r="E12" s="566">
        <v>290053</v>
      </c>
      <c r="F12" s="57" t="s">
        <v>323</v>
      </c>
      <c r="G12" s="21"/>
      <c r="H12" s="7"/>
      <c r="I12" s="7"/>
      <c r="J12" s="7"/>
      <c r="K12" s="7"/>
      <c r="L12" s="7"/>
      <c r="M12" s="9" t="s">
        <v>324</v>
      </c>
      <c r="N12" s="67">
        <v>0.25</v>
      </c>
      <c r="O12" s="45"/>
      <c r="P12" s="23"/>
      <c r="Q12" s="22"/>
      <c r="R12" s="22"/>
    </row>
    <row r="13" spans="1:19">
      <c r="A13" s="7" t="s">
        <v>130</v>
      </c>
      <c r="B13" s="78">
        <v>46211</v>
      </c>
      <c r="C13" s="78">
        <v>46211</v>
      </c>
      <c r="D13" s="7">
        <v>82</v>
      </c>
      <c r="E13" s="566" t="s">
        <v>325</v>
      </c>
      <c r="F13" s="57" t="s">
        <v>326</v>
      </c>
      <c r="G13" s="21"/>
      <c r="H13" s="7"/>
      <c r="I13" s="7"/>
      <c r="J13" s="7"/>
      <c r="K13" s="7"/>
      <c r="L13" s="7"/>
      <c r="M13" s="9" t="s">
        <v>322</v>
      </c>
      <c r="N13" s="567">
        <v>0.4</v>
      </c>
      <c r="O13" s="45"/>
      <c r="P13" s="23"/>
      <c r="Q13" s="22"/>
      <c r="R13" s="22"/>
    </row>
    <row r="14" spans="1:19">
      <c r="A14" s="7" t="s">
        <v>130</v>
      </c>
      <c r="B14" s="78">
        <v>46214</v>
      </c>
      <c r="C14" s="78">
        <v>46215</v>
      </c>
      <c r="D14" s="7">
        <v>82</v>
      </c>
      <c r="E14" s="566">
        <v>290053</v>
      </c>
      <c r="F14" s="57" t="s">
        <v>323</v>
      </c>
      <c r="G14" s="21"/>
      <c r="H14" s="7"/>
      <c r="I14" s="7"/>
      <c r="J14" s="7"/>
      <c r="K14" s="7"/>
      <c r="L14" s="7"/>
      <c r="M14" s="9" t="s">
        <v>324</v>
      </c>
      <c r="N14" s="67">
        <v>0.25</v>
      </c>
      <c r="O14" s="45"/>
      <c r="P14" s="23"/>
      <c r="Q14" s="22"/>
      <c r="R14" s="22"/>
    </row>
    <row r="15" spans="1:19">
      <c r="A15" s="7" t="s">
        <v>130</v>
      </c>
      <c r="B15" s="78">
        <v>46214</v>
      </c>
      <c r="C15" s="78">
        <v>46215</v>
      </c>
      <c r="D15" s="7">
        <v>82</v>
      </c>
      <c r="E15" s="566">
        <v>275517</v>
      </c>
      <c r="F15" s="57" t="s">
        <v>327</v>
      </c>
      <c r="G15" s="28"/>
      <c r="H15" s="7"/>
      <c r="I15" s="7"/>
      <c r="J15" s="7"/>
      <c r="K15" s="7"/>
      <c r="L15" s="7"/>
      <c r="M15" s="9" t="s">
        <v>322</v>
      </c>
      <c r="N15" s="67">
        <v>0.25</v>
      </c>
      <c r="O15" s="45"/>
      <c r="P15" s="23"/>
      <c r="Q15" s="22"/>
      <c r="R15" s="22"/>
    </row>
    <row r="16" spans="1:19">
      <c r="A16" s="7" t="s">
        <v>130</v>
      </c>
      <c r="B16" s="78">
        <v>46214</v>
      </c>
      <c r="C16" s="78">
        <v>46215</v>
      </c>
      <c r="D16" s="7">
        <v>82</v>
      </c>
      <c r="E16" s="578">
        <v>1037843</v>
      </c>
      <c r="F16" s="577" t="s">
        <v>328</v>
      </c>
      <c r="G16" s="28"/>
      <c r="H16" s="7"/>
      <c r="I16" s="7"/>
      <c r="J16" s="7"/>
      <c r="K16" s="7"/>
      <c r="L16" s="7"/>
      <c r="M16" s="9" t="s">
        <v>41</v>
      </c>
      <c r="N16" s="67">
        <v>0.25</v>
      </c>
      <c r="O16" s="45"/>
      <c r="P16" s="23"/>
      <c r="Q16" s="37"/>
      <c r="R16" s="22"/>
    </row>
    <row r="17" spans="1:18">
      <c r="A17" s="7" t="s">
        <v>130</v>
      </c>
      <c r="B17" s="78">
        <v>46218</v>
      </c>
      <c r="C17" s="78">
        <v>46218</v>
      </c>
      <c r="D17" s="7">
        <v>82</v>
      </c>
      <c r="E17" s="579">
        <v>1657926</v>
      </c>
      <c r="F17" s="577" t="s">
        <v>329</v>
      </c>
      <c r="G17" s="28"/>
      <c r="H17" s="7"/>
      <c r="I17" s="7"/>
      <c r="J17" s="7"/>
      <c r="K17" s="7"/>
      <c r="L17" s="7"/>
      <c r="M17" s="199" t="s">
        <v>50</v>
      </c>
      <c r="N17" s="575">
        <v>0.2</v>
      </c>
      <c r="O17" s="46"/>
      <c r="P17" s="23"/>
      <c r="Q17" s="22"/>
      <c r="R17" s="22"/>
    </row>
    <row r="18" spans="1:18">
      <c r="A18" s="7" t="s">
        <v>130</v>
      </c>
      <c r="B18" s="78">
        <v>46218</v>
      </c>
      <c r="C18" s="78">
        <v>46218</v>
      </c>
      <c r="D18" s="7">
        <v>82</v>
      </c>
      <c r="E18" s="580">
        <v>625323</v>
      </c>
      <c r="F18" s="581" t="s">
        <v>330</v>
      </c>
      <c r="G18" s="582"/>
      <c r="H18" s="86"/>
      <c r="I18" s="86"/>
      <c r="J18" s="86"/>
      <c r="K18" s="86"/>
      <c r="L18" s="86"/>
      <c r="M18" s="590" t="s">
        <v>319</v>
      </c>
      <c r="N18" s="591">
        <v>0.4</v>
      </c>
      <c r="O18" s="583"/>
      <c r="P18" s="217"/>
      <c r="Q18" s="22"/>
      <c r="R18" s="22"/>
    </row>
    <row r="19" spans="1:18">
      <c r="A19" s="7" t="s">
        <v>130</v>
      </c>
      <c r="B19" s="78">
        <v>46218</v>
      </c>
      <c r="C19" s="78">
        <v>46218</v>
      </c>
      <c r="D19" s="74">
        <v>82</v>
      </c>
      <c r="E19" s="588">
        <v>1232624</v>
      </c>
      <c r="F19" s="554" t="s">
        <v>315</v>
      </c>
      <c r="G19" s="80"/>
      <c r="H19" s="81"/>
      <c r="I19" s="81"/>
      <c r="J19" s="81"/>
      <c r="K19" s="81"/>
      <c r="L19" s="81"/>
      <c r="M19" s="83" t="s">
        <v>41</v>
      </c>
      <c r="N19" s="453">
        <v>0.3</v>
      </c>
      <c r="O19" s="589"/>
      <c r="P19" s="82"/>
      <c r="Q19" s="22"/>
      <c r="R19" s="22"/>
    </row>
  </sheetData>
  <phoneticPr fontId="19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ACAC-0619-4464-9B09-225B2778A75C}">
  <sheetPr>
    <tabColor theme="4" tint="0.79998168889431442"/>
  </sheetPr>
  <dimension ref="A1:Q67"/>
  <sheetViews>
    <sheetView tabSelected="1" topLeftCell="B1" workbookViewId="0">
      <selection activeCell="F61" sqref="F61"/>
    </sheetView>
  </sheetViews>
  <sheetFormatPr baseColWidth="10" defaultColWidth="9.140625" defaultRowHeight="15"/>
  <cols>
    <col min="1" max="1" width="13.140625" customWidth="1"/>
    <col min="2" max="2" width="12.28515625" bestFit="1" customWidth="1"/>
    <col min="3" max="3" width="11.5703125" customWidth="1"/>
    <col min="4" max="4" width="10.5703125" style="8" bestFit="1" customWidth="1"/>
    <col min="5" max="5" width="8.7109375" bestFit="1" customWidth="1"/>
    <col min="6" max="6" width="73.42578125" bestFit="1" customWidth="1"/>
    <col min="7" max="7" width="15" bestFit="1" customWidth="1"/>
    <col min="8" max="8" width="24.140625" bestFit="1" customWidth="1"/>
    <col min="9" max="9" width="10.140625" bestFit="1" customWidth="1"/>
    <col min="10" max="10" width="36.140625" bestFit="1" customWidth="1"/>
    <col min="11" max="11" width="12.140625" bestFit="1" customWidth="1"/>
    <col min="12" max="12" width="11" bestFit="1" customWidth="1"/>
    <col min="13" max="13" width="13.7109375" bestFit="1" customWidth="1"/>
    <col min="14" max="14" width="17.5703125" style="8" bestFit="1" customWidth="1"/>
    <col min="15" max="15" width="16.28515625" bestFit="1" customWidth="1"/>
    <col min="16" max="16" width="50" bestFit="1" customWidth="1"/>
  </cols>
  <sheetData>
    <row r="1" spans="1:17" ht="15.75">
      <c r="A1" s="301" t="s">
        <v>65</v>
      </c>
      <c r="B1" s="302" t="s">
        <v>66</v>
      </c>
      <c r="C1" s="15" t="s">
        <v>67</v>
      </c>
      <c r="D1" s="15" t="s">
        <v>3</v>
      </c>
      <c r="E1" s="14" t="s">
        <v>11</v>
      </c>
      <c r="F1" s="102" t="s">
        <v>68</v>
      </c>
      <c r="G1" s="15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13</v>
      </c>
      <c r="O1" s="14" t="s">
        <v>14</v>
      </c>
      <c r="P1" s="102" t="s">
        <v>70</v>
      </c>
      <c r="Q1" s="36" t="s">
        <v>19</v>
      </c>
    </row>
    <row r="2" spans="1:17">
      <c r="A2" s="150"/>
      <c r="B2" s="150"/>
      <c r="C2" s="150"/>
      <c r="D2" s="307" t="s">
        <v>54</v>
      </c>
      <c r="E2" s="308" t="s">
        <v>54</v>
      </c>
      <c r="F2" s="310" t="s">
        <v>331</v>
      </c>
      <c r="G2" s="308" t="s">
        <v>54</v>
      </c>
      <c r="H2" s="308" t="s">
        <v>54</v>
      </c>
      <c r="I2" s="305" t="s">
        <v>54</v>
      </c>
      <c r="J2" s="305" t="s">
        <v>54</v>
      </c>
      <c r="K2" s="305" t="s">
        <v>54</v>
      </c>
      <c r="L2" s="305" t="s">
        <v>54</v>
      </c>
      <c r="M2" s="305" t="s">
        <v>54</v>
      </c>
      <c r="N2" s="306" t="s">
        <v>54</v>
      </c>
      <c r="O2" s="305" t="s">
        <v>54</v>
      </c>
      <c r="P2" s="310" t="s">
        <v>54</v>
      </c>
    </row>
    <row r="3" spans="1:17">
      <c r="A3" s="718" t="s">
        <v>71</v>
      </c>
      <c r="B3" s="59">
        <v>46200</v>
      </c>
      <c r="C3" s="59">
        <v>46200</v>
      </c>
      <c r="D3" s="166">
        <v>71</v>
      </c>
      <c r="E3" s="77"/>
      <c r="F3" s="303" t="s">
        <v>332</v>
      </c>
      <c r="G3" s="110">
        <v>7155</v>
      </c>
      <c r="H3" s="110" t="s">
        <v>333</v>
      </c>
      <c r="I3" s="303" t="s">
        <v>54</v>
      </c>
      <c r="J3" s="303" t="s">
        <v>54</v>
      </c>
      <c r="K3" s="303" t="s">
        <v>54</v>
      </c>
      <c r="L3" s="303"/>
      <c r="M3" s="303"/>
      <c r="N3" s="313">
        <v>0.25</v>
      </c>
      <c r="O3" s="169" t="s">
        <v>54</v>
      </c>
      <c r="P3" s="648" t="s">
        <v>135</v>
      </c>
    </row>
    <row r="4" spans="1:17">
      <c r="A4" s="719"/>
      <c r="B4" s="59">
        <v>46200</v>
      </c>
      <c r="C4" s="59">
        <v>46200</v>
      </c>
      <c r="D4" s="166">
        <v>71</v>
      </c>
      <c r="E4" s="77"/>
      <c r="F4" s="303" t="s">
        <v>334</v>
      </c>
      <c r="G4" s="110" t="s">
        <v>54</v>
      </c>
      <c r="H4" s="110" t="s">
        <v>54</v>
      </c>
      <c r="I4" s="321">
        <v>1549</v>
      </c>
      <c r="J4" s="321" t="s">
        <v>335</v>
      </c>
      <c r="K4" s="321" t="s">
        <v>54</v>
      </c>
      <c r="L4" s="303"/>
      <c r="M4" s="303"/>
      <c r="N4" s="313">
        <v>0.25</v>
      </c>
      <c r="O4" s="169" t="s">
        <v>54</v>
      </c>
      <c r="P4" s="700"/>
    </row>
    <row r="5" spans="1:17">
      <c r="A5" s="719"/>
      <c r="B5" s="59">
        <v>46207</v>
      </c>
      <c r="C5" s="59">
        <v>46207</v>
      </c>
      <c r="D5" s="166">
        <v>71</v>
      </c>
      <c r="E5" s="77"/>
      <c r="F5" s="303" t="s">
        <v>332</v>
      </c>
      <c r="G5" s="110">
        <v>7155</v>
      </c>
      <c r="H5" s="143" t="s">
        <v>333</v>
      </c>
      <c r="I5" s="77"/>
      <c r="J5" s="77"/>
      <c r="K5" s="110" t="s">
        <v>54</v>
      </c>
      <c r="L5" s="303"/>
      <c r="M5" s="303"/>
      <c r="N5" s="313">
        <v>0.25</v>
      </c>
      <c r="O5" s="169" t="s">
        <v>54</v>
      </c>
      <c r="P5" s="700"/>
    </row>
    <row r="6" spans="1:17">
      <c r="A6" s="719"/>
      <c r="B6" s="59">
        <v>46207</v>
      </c>
      <c r="C6" s="59">
        <v>46207</v>
      </c>
      <c r="D6" s="166">
        <v>71</v>
      </c>
      <c r="E6" s="77"/>
      <c r="F6" s="303" t="s">
        <v>334</v>
      </c>
      <c r="G6" s="110" t="s">
        <v>54</v>
      </c>
      <c r="H6" s="143" t="s">
        <v>54</v>
      </c>
      <c r="I6" s="110">
        <v>1549</v>
      </c>
      <c r="J6" s="110" t="s">
        <v>335</v>
      </c>
      <c r="K6" s="110"/>
      <c r="L6" s="303"/>
      <c r="M6" s="303"/>
      <c r="N6" s="313">
        <v>0.25</v>
      </c>
      <c r="O6" s="169"/>
      <c r="P6" s="700"/>
    </row>
    <row r="7" spans="1:17">
      <c r="A7" s="719"/>
      <c r="B7" s="59">
        <v>46214</v>
      </c>
      <c r="C7" s="59">
        <v>46214</v>
      </c>
      <c r="D7" s="166">
        <v>71</v>
      </c>
      <c r="E7" s="77"/>
      <c r="F7" s="303" t="s">
        <v>332</v>
      </c>
      <c r="G7" s="110">
        <v>7155</v>
      </c>
      <c r="H7" s="110" t="s">
        <v>333</v>
      </c>
      <c r="I7" s="303" t="s">
        <v>54</v>
      </c>
      <c r="J7" s="303" t="s">
        <v>54</v>
      </c>
      <c r="K7" s="303" t="s">
        <v>54</v>
      </c>
      <c r="L7" s="303"/>
      <c r="M7" s="303"/>
      <c r="N7" s="313">
        <v>0.25</v>
      </c>
      <c r="O7" s="169" t="s">
        <v>54</v>
      </c>
      <c r="P7" s="700"/>
    </row>
    <row r="8" spans="1:17">
      <c r="A8" s="720"/>
      <c r="B8" s="59">
        <v>46214</v>
      </c>
      <c r="C8" s="59">
        <v>46214</v>
      </c>
      <c r="D8" s="166">
        <v>71</v>
      </c>
      <c r="E8" s="77"/>
      <c r="F8" s="303" t="s">
        <v>334</v>
      </c>
      <c r="G8" s="110" t="s">
        <v>54</v>
      </c>
      <c r="H8" s="110" t="s">
        <v>54</v>
      </c>
      <c r="I8" s="303">
        <v>1549</v>
      </c>
      <c r="J8" s="303" t="s">
        <v>335</v>
      </c>
      <c r="K8" s="303" t="s">
        <v>54</v>
      </c>
      <c r="L8" s="303" t="s">
        <v>54</v>
      </c>
      <c r="M8" s="303" t="s">
        <v>54</v>
      </c>
      <c r="N8" s="313">
        <v>0.25</v>
      </c>
      <c r="O8" s="169" t="s">
        <v>54</v>
      </c>
      <c r="P8" s="661"/>
    </row>
    <row r="9" spans="1:17">
      <c r="A9" s="133"/>
      <c r="B9" s="130"/>
      <c r="C9" s="130"/>
      <c r="D9" s="309" t="s">
        <v>54</v>
      </c>
      <c r="E9" s="310" t="s">
        <v>54</v>
      </c>
      <c r="F9" s="310"/>
      <c r="G9" s="311" t="s">
        <v>54</v>
      </c>
      <c r="H9" s="311" t="s">
        <v>54</v>
      </c>
      <c r="I9" s="312" t="s">
        <v>54</v>
      </c>
      <c r="J9" s="312" t="s">
        <v>54</v>
      </c>
      <c r="K9" s="312" t="s">
        <v>54</v>
      </c>
      <c r="L9" s="312" t="s">
        <v>54</v>
      </c>
      <c r="M9" s="320" t="s">
        <v>54</v>
      </c>
      <c r="N9" s="314" t="s">
        <v>54</v>
      </c>
      <c r="O9" s="312" t="s">
        <v>54</v>
      </c>
      <c r="P9" s="310" t="s">
        <v>54</v>
      </c>
    </row>
    <row r="10" spans="1:17">
      <c r="A10" s="701" t="s">
        <v>71</v>
      </c>
      <c r="B10" s="316">
        <v>46200</v>
      </c>
      <c r="C10" s="59">
        <v>46200</v>
      </c>
      <c r="D10" s="166">
        <v>71</v>
      </c>
      <c r="E10" s="110" t="s">
        <v>54</v>
      </c>
      <c r="F10" s="303"/>
      <c r="G10" s="77"/>
      <c r="H10" s="77"/>
      <c r="I10" s="228">
        <v>4029</v>
      </c>
      <c r="J10" s="110" t="s">
        <v>336</v>
      </c>
      <c r="K10" s="303" t="s">
        <v>54</v>
      </c>
      <c r="L10" s="318" t="s">
        <v>54</v>
      </c>
      <c r="M10" s="175" t="s">
        <v>337</v>
      </c>
      <c r="N10" s="319">
        <v>0.25</v>
      </c>
      <c r="O10" s="169" t="s">
        <v>54</v>
      </c>
      <c r="P10" s="648" t="s">
        <v>135</v>
      </c>
    </row>
    <row r="11" spans="1:17">
      <c r="A11" s="701"/>
      <c r="B11" s="316">
        <v>46207</v>
      </c>
      <c r="C11" s="59">
        <v>46207</v>
      </c>
      <c r="D11" s="166">
        <v>71</v>
      </c>
      <c r="E11" s="110" t="s">
        <v>54</v>
      </c>
      <c r="F11" s="303"/>
      <c r="G11" s="77"/>
      <c r="H11" s="77"/>
      <c r="I11" s="228">
        <v>4029</v>
      </c>
      <c r="J11" s="110" t="s">
        <v>336</v>
      </c>
      <c r="K11" s="303" t="s">
        <v>54</v>
      </c>
      <c r="L11" s="304" t="s">
        <v>54</v>
      </c>
      <c r="M11" s="175" t="s">
        <v>337</v>
      </c>
      <c r="N11" s="319">
        <v>0.25</v>
      </c>
      <c r="O11" s="169" t="s">
        <v>54</v>
      </c>
      <c r="P11" s="700"/>
    </row>
    <row r="12" spans="1:17">
      <c r="A12" s="701"/>
      <c r="B12" s="423">
        <v>46214</v>
      </c>
      <c r="C12" s="424">
        <v>46214</v>
      </c>
      <c r="D12" s="416">
        <v>71</v>
      </c>
      <c r="E12" s="110" t="s">
        <v>54</v>
      </c>
      <c r="F12" s="321"/>
      <c r="G12" s="77"/>
      <c r="H12" s="77"/>
      <c r="I12" s="228">
        <v>4029</v>
      </c>
      <c r="J12" s="110" t="s">
        <v>336</v>
      </c>
      <c r="K12" s="303" t="s">
        <v>54</v>
      </c>
      <c r="L12" s="168" t="s">
        <v>54</v>
      </c>
      <c r="M12" s="175" t="s">
        <v>337</v>
      </c>
      <c r="N12" s="420">
        <v>0.25</v>
      </c>
      <c r="O12" s="169" t="s">
        <v>54</v>
      </c>
      <c r="P12" s="700"/>
    </row>
    <row r="13" spans="1:17">
      <c r="A13" s="421"/>
      <c r="B13" s="130"/>
      <c r="C13" s="130"/>
      <c r="D13" s="161"/>
      <c r="E13" s="150"/>
      <c r="F13" s="417" t="s">
        <v>137</v>
      </c>
      <c r="G13" s="150"/>
      <c r="H13" s="150"/>
      <c r="I13" s="150"/>
      <c r="J13" s="150"/>
      <c r="K13" s="150"/>
      <c r="L13" s="150"/>
      <c r="M13" s="150"/>
      <c r="N13" s="161"/>
      <c r="O13" s="150"/>
      <c r="P13" s="133"/>
    </row>
    <row r="14" spans="1:17">
      <c r="A14" s="692" t="s">
        <v>338</v>
      </c>
      <c r="B14" s="595">
        <v>46199</v>
      </c>
      <c r="C14" s="78">
        <v>46219</v>
      </c>
      <c r="D14" s="315">
        <v>71</v>
      </c>
      <c r="E14" s="77">
        <v>661212</v>
      </c>
      <c r="F14" s="110" t="s">
        <v>339</v>
      </c>
      <c r="G14" s="422"/>
      <c r="H14" s="77"/>
      <c r="I14" s="77"/>
      <c r="J14" s="77"/>
      <c r="K14" s="77"/>
      <c r="L14" s="77"/>
      <c r="M14" s="77" t="s">
        <v>340</v>
      </c>
      <c r="N14" s="319">
        <v>0.25</v>
      </c>
      <c r="O14" s="77"/>
      <c r="P14" s="77"/>
    </row>
    <row r="15" spans="1:17">
      <c r="A15" s="710"/>
      <c r="B15" s="598">
        <v>46199</v>
      </c>
      <c r="C15" s="140">
        <v>46219</v>
      </c>
      <c r="D15" s="418">
        <v>71</v>
      </c>
      <c r="E15" s="77">
        <v>3257352</v>
      </c>
      <c r="F15" s="410" t="s">
        <v>341</v>
      </c>
      <c r="G15" s="77"/>
      <c r="H15" s="77"/>
      <c r="I15" s="77"/>
      <c r="J15" s="77"/>
      <c r="K15" s="77"/>
      <c r="L15" s="77"/>
      <c r="M15" s="77" t="s">
        <v>340</v>
      </c>
      <c r="N15" s="319">
        <v>0.25</v>
      </c>
      <c r="O15" s="77"/>
      <c r="P15" s="77"/>
    </row>
    <row r="16" spans="1:17">
      <c r="A16" s="710"/>
      <c r="B16" s="598">
        <v>46199</v>
      </c>
      <c r="C16" s="140">
        <v>46219</v>
      </c>
      <c r="D16" s="418">
        <v>71</v>
      </c>
      <c r="E16" s="425">
        <v>3320446</v>
      </c>
      <c r="F16" s="77" t="s">
        <v>342</v>
      </c>
      <c r="G16" s="425"/>
      <c r="H16" s="77"/>
      <c r="I16" s="77"/>
      <c r="J16" s="77"/>
      <c r="K16" s="77"/>
      <c r="L16" s="77"/>
      <c r="M16" s="77" t="s">
        <v>340</v>
      </c>
      <c r="N16" s="319">
        <v>0.25</v>
      </c>
      <c r="O16" s="77"/>
      <c r="P16" s="77"/>
    </row>
    <row r="17" spans="1:16">
      <c r="A17" s="711"/>
      <c r="B17" s="598">
        <v>46199</v>
      </c>
      <c r="C17" s="140">
        <v>46219</v>
      </c>
      <c r="D17" s="418">
        <v>71</v>
      </c>
      <c r="E17" s="77">
        <v>520889</v>
      </c>
      <c r="F17" s="77" t="s">
        <v>343</v>
      </c>
      <c r="G17" s="77"/>
      <c r="H17" s="77"/>
      <c r="I17" s="77"/>
      <c r="J17" s="77"/>
      <c r="K17" s="77"/>
      <c r="L17" s="77"/>
      <c r="M17" s="77" t="s">
        <v>340</v>
      </c>
      <c r="N17" s="319">
        <v>0.25</v>
      </c>
      <c r="O17" s="77"/>
      <c r="P17" s="77"/>
    </row>
    <row r="18" spans="1:16">
      <c r="A18" s="367" t="s">
        <v>130</v>
      </c>
      <c r="B18" s="598">
        <v>46199</v>
      </c>
      <c r="C18" s="140">
        <v>46219</v>
      </c>
      <c r="D18" s="418">
        <v>71</v>
      </c>
      <c r="E18" s="322">
        <v>1444967</v>
      </c>
      <c r="F18" s="322" t="s">
        <v>344</v>
      </c>
      <c r="G18" s="410"/>
      <c r="H18" s="410"/>
      <c r="I18" s="410"/>
      <c r="J18" s="410"/>
      <c r="K18" s="410"/>
      <c r="L18" s="322" t="s">
        <v>54</v>
      </c>
      <c r="M18" s="196" t="s">
        <v>76</v>
      </c>
      <c r="N18" s="427">
        <v>7980</v>
      </c>
      <c r="O18" s="419"/>
      <c r="P18" s="410"/>
    </row>
    <row r="19" spans="1:16">
      <c r="A19" s="649" t="s">
        <v>71</v>
      </c>
      <c r="B19" s="595">
        <v>46199</v>
      </c>
      <c r="C19" s="78">
        <v>46219</v>
      </c>
      <c r="D19" s="315">
        <v>71</v>
      </c>
      <c r="E19" s="110">
        <v>3799428</v>
      </c>
      <c r="F19" s="110" t="s">
        <v>345</v>
      </c>
      <c r="G19" s="77"/>
      <c r="H19" s="77"/>
      <c r="I19" s="77"/>
      <c r="J19" s="77"/>
      <c r="K19" s="77"/>
      <c r="L19" s="110">
        <v>60145</v>
      </c>
      <c r="M19" s="175" t="s">
        <v>346</v>
      </c>
      <c r="N19" s="715" t="s">
        <v>347</v>
      </c>
      <c r="O19" s="375"/>
      <c r="P19" s="77"/>
    </row>
    <row r="20" spans="1:16">
      <c r="A20" s="651"/>
      <c r="B20" s="595">
        <v>46199</v>
      </c>
      <c r="C20" s="78">
        <v>46219</v>
      </c>
      <c r="D20" s="315">
        <v>71</v>
      </c>
      <c r="E20" s="110">
        <v>3799529</v>
      </c>
      <c r="F20" s="110" t="s">
        <v>348</v>
      </c>
      <c r="G20" s="77"/>
      <c r="H20" s="77"/>
      <c r="I20" s="77"/>
      <c r="J20" s="77"/>
      <c r="K20" s="77"/>
      <c r="L20" s="110">
        <v>60145</v>
      </c>
      <c r="M20" s="175" t="s">
        <v>346</v>
      </c>
      <c r="N20" s="715"/>
      <c r="O20" s="375"/>
      <c r="P20" s="77"/>
    </row>
    <row r="21" spans="1:16">
      <c r="A21" s="650"/>
      <c r="B21" s="595">
        <v>46199</v>
      </c>
      <c r="C21" s="78">
        <v>46219</v>
      </c>
      <c r="D21" s="315">
        <v>71</v>
      </c>
      <c r="E21" s="110">
        <v>3799430</v>
      </c>
      <c r="F21" s="110" t="s">
        <v>349</v>
      </c>
      <c r="G21" s="77"/>
      <c r="H21" s="77"/>
      <c r="I21" s="77"/>
      <c r="J21" s="77"/>
      <c r="K21" s="77"/>
      <c r="L21" s="110">
        <v>60145</v>
      </c>
      <c r="M21" s="175" t="s">
        <v>346</v>
      </c>
      <c r="N21" s="715"/>
      <c r="O21" s="375"/>
      <c r="P21" s="77"/>
    </row>
    <row r="22" spans="1:16">
      <c r="A22" s="649" t="s">
        <v>71</v>
      </c>
      <c r="B22" s="595">
        <v>46199</v>
      </c>
      <c r="C22" s="78">
        <v>46219</v>
      </c>
      <c r="D22" s="315">
        <v>71</v>
      </c>
      <c r="E22" s="110">
        <v>3559224</v>
      </c>
      <c r="F22" s="110" t="s">
        <v>350</v>
      </c>
      <c r="G22" s="77"/>
      <c r="H22" s="77"/>
      <c r="I22" s="77"/>
      <c r="J22" s="77"/>
      <c r="K22" s="77"/>
      <c r="L22" s="110">
        <v>54478</v>
      </c>
      <c r="M22" s="175" t="s">
        <v>351</v>
      </c>
      <c r="N22" s="716">
        <v>0.2</v>
      </c>
      <c r="O22" s="375"/>
      <c r="P22" s="77"/>
    </row>
    <row r="23" spans="1:16">
      <c r="A23" s="651"/>
      <c r="B23" s="595">
        <v>46199</v>
      </c>
      <c r="C23" s="78">
        <v>46219</v>
      </c>
      <c r="D23" s="315">
        <v>71</v>
      </c>
      <c r="E23" s="110">
        <v>3559225</v>
      </c>
      <c r="F23" s="110" t="s">
        <v>352</v>
      </c>
      <c r="G23" s="77"/>
      <c r="H23" s="77"/>
      <c r="I23" s="77"/>
      <c r="J23" s="77"/>
      <c r="K23" s="77"/>
      <c r="L23" s="110">
        <v>54478</v>
      </c>
      <c r="M23" s="175" t="s">
        <v>351</v>
      </c>
      <c r="N23" s="717"/>
      <c r="O23" s="375"/>
      <c r="P23" s="77"/>
    </row>
    <row r="24" spans="1:16">
      <c r="A24" s="650"/>
      <c r="B24" s="595">
        <v>46199</v>
      </c>
      <c r="C24" s="78">
        <v>46219</v>
      </c>
      <c r="D24" s="315">
        <v>71</v>
      </c>
      <c r="E24" s="110">
        <v>3665437</v>
      </c>
      <c r="F24" s="110" t="s">
        <v>353</v>
      </c>
      <c r="G24" s="77"/>
      <c r="H24" s="77"/>
      <c r="I24" s="77"/>
      <c r="J24" s="77"/>
      <c r="K24" s="77"/>
      <c r="L24" s="110">
        <v>54478</v>
      </c>
      <c r="M24" s="175" t="s">
        <v>351</v>
      </c>
      <c r="N24" s="717"/>
      <c r="O24" s="375"/>
      <c r="P24" s="77"/>
    </row>
    <row r="25" spans="1:16">
      <c r="A25" s="649" t="s">
        <v>71</v>
      </c>
      <c r="B25" s="595">
        <v>46199</v>
      </c>
      <c r="C25" s="78">
        <v>46219</v>
      </c>
      <c r="D25" s="315">
        <v>71</v>
      </c>
      <c r="E25" s="110">
        <v>3787717</v>
      </c>
      <c r="F25" s="110" t="s">
        <v>354</v>
      </c>
      <c r="G25" s="77"/>
      <c r="H25" s="77"/>
      <c r="I25" s="77"/>
      <c r="J25" s="77"/>
      <c r="K25" s="77"/>
      <c r="L25" s="110" t="s">
        <v>54</v>
      </c>
      <c r="M25" s="106" t="s">
        <v>355</v>
      </c>
      <c r="N25" s="426">
        <v>0.2</v>
      </c>
      <c r="O25" s="375"/>
      <c r="P25" s="77"/>
    </row>
    <row r="26" spans="1:16">
      <c r="A26" s="650"/>
      <c r="B26" s="595">
        <v>46199</v>
      </c>
      <c r="C26" s="78">
        <v>46219</v>
      </c>
      <c r="D26" s="315">
        <v>71</v>
      </c>
      <c r="E26" s="110">
        <v>3787718</v>
      </c>
      <c r="F26" s="110" t="s">
        <v>356</v>
      </c>
      <c r="G26" s="77"/>
      <c r="H26" s="77"/>
      <c r="I26" s="77"/>
      <c r="J26" s="77"/>
      <c r="K26" s="77"/>
      <c r="L26" s="110" t="s">
        <v>54</v>
      </c>
      <c r="M26" s="106" t="s">
        <v>355</v>
      </c>
      <c r="N26" s="426">
        <v>0.2</v>
      </c>
      <c r="O26" s="77"/>
      <c r="P26" s="410"/>
    </row>
    <row r="27" spans="1:16">
      <c r="A27" s="649" t="s">
        <v>71</v>
      </c>
      <c r="B27" s="595">
        <v>46199</v>
      </c>
      <c r="C27" s="78">
        <v>46219</v>
      </c>
      <c r="D27" s="315">
        <v>71</v>
      </c>
      <c r="E27" s="110">
        <v>3405201</v>
      </c>
      <c r="F27" s="110" t="s">
        <v>357</v>
      </c>
      <c r="G27" s="77"/>
      <c r="H27" s="77"/>
      <c r="I27" s="77"/>
      <c r="J27" s="77"/>
      <c r="K27" s="77"/>
      <c r="L27" s="110" t="s">
        <v>54</v>
      </c>
      <c r="M27" s="106" t="s">
        <v>76</v>
      </c>
      <c r="N27" s="712">
        <v>0.2</v>
      </c>
      <c r="O27" s="77"/>
      <c r="P27" s="77"/>
    </row>
    <row r="28" spans="1:16">
      <c r="A28" s="651"/>
      <c r="B28" s="595">
        <v>46199</v>
      </c>
      <c r="C28" s="78">
        <v>46219</v>
      </c>
      <c r="D28" s="315">
        <v>71</v>
      </c>
      <c r="E28" s="110">
        <v>3405206</v>
      </c>
      <c r="F28" s="110" t="s">
        <v>358</v>
      </c>
      <c r="G28" s="77"/>
      <c r="H28" s="77"/>
      <c r="I28" s="77"/>
      <c r="J28" s="77"/>
      <c r="K28" s="77"/>
      <c r="L28" s="110" t="s">
        <v>54</v>
      </c>
      <c r="M28" s="106" t="s">
        <v>76</v>
      </c>
      <c r="N28" s="713"/>
      <c r="O28" s="77"/>
      <c r="P28" s="77"/>
    </row>
    <row r="29" spans="1:16">
      <c r="A29" s="651"/>
      <c r="B29" s="595">
        <v>46199</v>
      </c>
      <c r="C29" s="78">
        <v>46219</v>
      </c>
      <c r="D29" s="315">
        <v>71</v>
      </c>
      <c r="E29" s="110">
        <v>3405211</v>
      </c>
      <c r="F29" s="110" t="s">
        <v>359</v>
      </c>
      <c r="G29" s="77"/>
      <c r="H29" s="77"/>
      <c r="I29" s="77"/>
      <c r="J29" s="77"/>
      <c r="K29" s="77"/>
      <c r="L29" s="110" t="s">
        <v>54</v>
      </c>
      <c r="M29" s="106" t="s">
        <v>76</v>
      </c>
      <c r="N29" s="713"/>
      <c r="O29" s="77"/>
      <c r="P29" s="77"/>
    </row>
    <row r="30" spans="1:16">
      <c r="A30" s="651"/>
      <c r="B30" s="595">
        <v>46199</v>
      </c>
      <c r="C30" s="78">
        <v>46219</v>
      </c>
      <c r="D30" s="315">
        <v>71</v>
      </c>
      <c r="E30" s="110">
        <v>3405405</v>
      </c>
      <c r="F30" s="110" t="s">
        <v>360</v>
      </c>
      <c r="G30" s="77"/>
      <c r="H30" s="77"/>
      <c r="I30" s="77"/>
      <c r="J30" s="77"/>
      <c r="K30" s="77"/>
      <c r="L30" s="110" t="s">
        <v>54</v>
      </c>
      <c r="M30" s="106" t="s">
        <v>125</v>
      </c>
      <c r="N30" s="713"/>
      <c r="O30" s="77"/>
      <c r="P30" s="77"/>
    </row>
    <row r="31" spans="1:16">
      <c r="A31" s="651"/>
      <c r="B31" s="595">
        <v>46199</v>
      </c>
      <c r="C31" s="78">
        <v>46219</v>
      </c>
      <c r="D31" s="315">
        <v>71</v>
      </c>
      <c r="E31" s="110">
        <v>3405396</v>
      </c>
      <c r="F31" s="110" t="s">
        <v>359</v>
      </c>
      <c r="G31" s="77"/>
      <c r="H31" s="77"/>
      <c r="I31" s="77"/>
      <c r="J31" s="77"/>
      <c r="K31" s="77"/>
      <c r="L31" s="110" t="s">
        <v>54</v>
      </c>
      <c r="M31" s="106" t="s">
        <v>125</v>
      </c>
      <c r="N31" s="713"/>
      <c r="O31" s="77"/>
      <c r="P31" s="77"/>
    </row>
    <row r="32" spans="1:16">
      <c r="A32" s="650"/>
      <c r="B32" s="595">
        <v>46199</v>
      </c>
      <c r="C32" s="78">
        <v>46219</v>
      </c>
      <c r="D32" s="315">
        <v>71</v>
      </c>
      <c r="E32" s="110">
        <v>3405406</v>
      </c>
      <c r="F32" s="110" t="s">
        <v>361</v>
      </c>
      <c r="G32" s="77"/>
      <c r="H32" s="77"/>
      <c r="I32" s="77"/>
      <c r="J32" s="77"/>
      <c r="K32" s="77"/>
      <c r="L32" s="110" t="s">
        <v>54</v>
      </c>
      <c r="M32" s="317" t="s">
        <v>125</v>
      </c>
      <c r="N32" s="713"/>
      <c r="O32" s="77"/>
      <c r="P32" s="77"/>
    </row>
    <row r="33" spans="1:16">
      <c r="A33" s="649" t="s">
        <v>71</v>
      </c>
      <c r="B33" s="595">
        <v>46199</v>
      </c>
      <c r="C33" s="78">
        <v>46219</v>
      </c>
      <c r="D33" s="315">
        <v>71</v>
      </c>
      <c r="E33" s="110">
        <v>3405347</v>
      </c>
      <c r="F33" s="110" t="s">
        <v>362</v>
      </c>
      <c r="G33" s="77"/>
      <c r="H33" s="77"/>
      <c r="I33" s="77"/>
      <c r="J33" s="77"/>
      <c r="K33" s="77"/>
      <c r="L33" s="110" t="s">
        <v>54</v>
      </c>
      <c r="M33" s="317" t="s">
        <v>76</v>
      </c>
      <c r="N33" s="712">
        <v>0.2</v>
      </c>
      <c r="O33" s="77"/>
      <c r="P33" s="77"/>
    </row>
    <row r="34" spans="1:16">
      <c r="A34" s="651"/>
      <c r="B34" s="595">
        <v>46199</v>
      </c>
      <c r="C34" s="78">
        <v>46219</v>
      </c>
      <c r="D34" s="315">
        <v>71</v>
      </c>
      <c r="E34" s="110">
        <v>3405454</v>
      </c>
      <c r="F34" s="110" t="s">
        <v>363</v>
      </c>
      <c r="G34" s="77"/>
      <c r="H34" s="77"/>
      <c r="I34" s="77"/>
      <c r="J34" s="77"/>
      <c r="K34" s="77"/>
      <c r="L34" s="110" t="s">
        <v>54</v>
      </c>
      <c r="M34" s="317" t="s">
        <v>76</v>
      </c>
      <c r="N34" s="713"/>
      <c r="O34" s="77"/>
      <c r="P34" s="77"/>
    </row>
    <row r="35" spans="1:16">
      <c r="A35" s="651"/>
      <c r="B35" s="595">
        <v>46199</v>
      </c>
      <c r="C35" s="78">
        <v>46219</v>
      </c>
      <c r="D35" s="315">
        <v>71</v>
      </c>
      <c r="E35" s="110">
        <v>3405455</v>
      </c>
      <c r="F35" s="110" t="s">
        <v>364</v>
      </c>
      <c r="G35" s="77"/>
      <c r="H35" s="77"/>
      <c r="I35" s="77"/>
      <c r="J35" s="77"/>
      <c r="K35" s="77"/>
      <c r="L35" s="110" t="s">
        <v>54</v>
      </c>
      <c r="M35" s="317" t="s">
        <v>76</v>
      </c>
      <c r="N35" s="713"/>
      <c r="O35" s="77"/>
      <c r="P35" s="77"/>
    </row>
    <row r="36" spans="1:16">
      <c r="A36" s="651"/>
      <c r="B36" s="595">
        <v>46199</v>
      </c>
      <c r="C36" s="78">
        <v>46219</v>
      </c>
      <c r="D36" s="315">
        <v>71</v>
      </c>
      <c r="E36" s="110">
        <v>3405358</v>
      </c>
      <c r="F36" s="110" t="s">
        <v>363</v>
      </c>
      <c r="G36" s="77"/>
      <c r="H36" s="77"/>
      <c r="I36" s="77"/>
      <c r="J36" s="77"/>
      <c r="K36" s="77"/>
      <c r="L36" s="110" t="s">
        <v>54</v>
      </c>
      <c r="M36" s="317" t="s">
        <v>125</v>
      </c>
      <c r="N36" s="713"/>
      <c r="O36" s="77"/>
      <c r="P36" s="77"/>
    </row>
    <row r="37" spans="1:16">
      <c r="A37" s="651"/>
      <c r="B37" s="595">
        <v>46199</v>
      </c>
      <c r="C37" s="78">
        <v>46219</v>
      </c>
      <c r="D37" s="315">
        <v>71</v>
      </c>
      <c r="E37" s="110">
        <v>3405373</v>
      </c>
      <c r="F37" s="110" t="s">
        <v>364</v>
      </c>
      <c r="G37" s="77"/>
      <c r="H37" s="77"/>
      <c r="I37" s="77"/>
      <c r="J37" s="77"/>
      <c r="K37" s="77"/>
      <c r="L37" s="110" t="s">
        <v>54</v>
      </c>
      <c r="M37" s="317" t="s">
        <v>125</v>
      </c>
      <c r="N37" s="713"/>
      <c r="O37" s="77"/>
      <c r="P37" s="77"/>
    </row>
    <row r="38" spans="1:16">
      <c r="A38" s="651"/>
      <c r="B38" s="599">
        <v>46199</v>
      </c>
      <c r="C38" s="138">
        <v>46219</v>
      </c>
      <c r="D38" s="514">
        <v>71</v>
      </c>
      <c r="E38" s="139">
        <v>3405437</v>
      </c>
      <c r="F38" s="139" t="s">
        <v>362</v>
      </c>
      <c r="G38" s="358"/>
      <c r="H38" s="358"/>
      <c r="I38" s="358"/>
      <c r="J38" s="358"/>
      <c r="K38" s="358"/>
      <c r="L38" s="139" t="s">
        <v>54</v>
      </c>
      <c r="M38" s="515" t="s">
        <v>125</v>
      </c>
      <c r="N38" s="714"/>
      <c r="O38" s="358"/>
      <c r="P38" s="358"/>
    </row>
    <row r="39" spans="1:16">
      <c r="A39" s="81" t="s">
        <v>71</v>
      </c>
      <c r="B39" s="595">
        <v>46199</v>
      </c>
      <c r="C39" s="78">
        <v>46219</v>
      </c>
      <c r="D39" s="315">
        <v>71</v>
      </c>
      <c r="E39" s="110">
        <v>3315400</v>
      </c>
      <c r="F39" s="110" t="s">
        <v>365</v>
      </c>
      <c r="G39" s="77"/>
      <c r="H39" s="77"/>
      <c r="I39" s="77"/>
      <c r="J39" s="77"/>
      <c r="K39" s="77"/>
      <c r="L39" s="77"/>
      <c r="M39" s="77" t="s">
        <v>366</v>
      </c>
      <c r="N39" s="513">
        <v>0.2</v>
      </c>
      <c r="O39" s="77"/>
      <c r="P39" s="77"/>
    </row>
    <row r="40" spans="1:16">
      <c r="A40" s="649" t="s">
        <v>130</v>
      </c>
      <c r="B40" s="595">
        <v>46199</v>
      </c>
      <c r="C40" s="78">
        <v>46219</v>
      </c>
      <c r="D40" s="315">
        <v>71</v>
      </c>
      <c r="E40" s="110">
        <v>3621184</v>
      </c>
      <c r="F40" s="110" t="s">
        <v>367</v>
      </c>
      <c r="G40" s="77"/>
      <c r="H40" s="77"/>
      <c r="I40" s="77"/>
      <c r="J40" s="77"/>
      <c r="K40" s="77"/>
      <c r="L40" s="77"/>
      <c r="M40" s="77" t="s">
        <v>368</v>
      </c>
      <c r="N40" s="166" t="s">
        <v>369</v>
      </c>
      <c r="O40" s="77"/>
      <c r="P40" s="110" t="s">
        <v>370</v>
      </c>
    </row>
    <row r="41" spans="1:16">
      <c r="A41" s="651"/>
      <c r="B41" s="595">
        <v>46199</v>
      </c>
      <c r="C41" s="78">
        <v>46219</v>
      </c>
      <c r="D41" s="315">
        <v>71</v>
      </c>
      <c r="E41" s="110">
        <v>3621673</v>
      </c>
      <c r="F41" s="110" t="s">
        <v>371</v>
      </c>
      <c r="G41" s="77"/>
      <c r="H41" s="77"/>
      <c r="I41" s="77"/>
      <c r="J41" s="77"/>
      <c r="K41" s="77"/>
      <c r="L41" s="77"/>
      <c r="M41" s="77" t="s">
        <v>368</v>
      </c>
      <c r="N41" s="166" t="s">
        <v>369</v>
      </c>
      <c r="O41" s="77"/>
      <c r="P41" s="110" t="s">
        <v>370</v>
      </c>
    </row>
    <row r="42" spans="1:16">
      <c r="A42" s="650"/>
      <c r="B42" s="599">
        <v>46199</v>
      </c>
      <c r="C42" s="138">
        <v>46219</v>
      </c>
      <c r="D42" s="514">
        <v>71</v>
      </c>
      <c r="E42" s="139">
        <v>3621763</v>
      </c>
      <c r="F42" s="139" t="s">
        <v>372</v>
      </c>
      <c r="G42" s="358"/>
      <c r="H42" s="358"/>
      <c r="I42" s="358"/>
      <c r="J42" s="358"/>
      <c r="K42" s="358"/>
      <c r="L42" s="358"/>
      <c r="M42" s="358" t="s">
        <v>368</v>
      </c>
      <c r="N42" s="416" t="s">
        <v>369</v>
      </c>
      <c r="O42" s="358"/>
      <c r="P42" s="139" t="s">
        <v>370</v>
      </c>
    </row>
    <row r="43" spans="1:16">
      <c r="A43" s="721" t="s">
        <v>71</v>
      </c>
      <c r="B43" s="595">
        <v>46199</v>
      </c>
      <c r="C43" s="78">
        <v>46219</v>
      </c>
      <c r="D43" s="315">
        <v>71</v>
      </c>
      <c r="E43" s="110">
        <v>1671021</v>
      </c>
      <c r="F43" s="110" t="s">
        <v>373</v>
      </c>
      <c r="G43" s="77"/>
      <c r="H43" s="77"/>
      <c r="I43" s="77"/>
      <c r="J43" s="77"/>
      <c r="K43" s="77"/>
      <c r="L43" s="77"/>
      <c r="M43" s="77" t="s">
        <v>374</v>
      </c>
      <c r="N43" s="724">
        <v>0.25</v>
      </c>
      <c r="O43" s="77"/>
      <c r="P43" s="77"/>
    </row>
    <row r="44" spans="1:16">
      <c r="A44" s="722"/>
      <c r="B44" s="595">
        <v>46199</v>
      </c>
      <c r="C44" s="78">
        <v>46219</v>
      </c>
      <c r="D44" s="315">
        <v>71</v>
      </c>
      <c r="E44" s="110">
        <v>225994</v>
      </c>
      <c r="F44" s="110" t="s">
        <v>375</v>
      </c>
      <c r="G44" s="77"/>
      <c r="H44" s="77"/>
      <c r="I44" s="77"/>
      <c r="J44" s="77"/>
      <c r="K44" s="77"/>
      <c r="L44" s="77"/>
      <c r="M44" s="77" t="s">
        <v>374</v>
      </c>
      <c r="N44" s="725"/>
      <c r="O44" s="77"/>
      <c r="P44" s="77"/>
    </row>
    <row r="45" spans="1:16">
      <c r="A45" s="722"/>
      <c r="B45" s="595">
        <v>46199</v>
      </c>
      <c r="C45" s="78">
        <v>46219</v>
      </c>
      <c r="D45" s="315">
        <v>71</v>
      </c>
      <c r="E45" s="110">
        <v>309341</v>
      </c>
      <c r="F45" s="110" t="s">
        <v>376</v>
      </c>
      <c r="G45" s="77"/>
      <c r="H45" s="77"/>
      <c r="I45" s="77"/>
      <c r="J45" s="77"/>
      <c r="K45" s="77"/>
      <c r="L45" s="77"/>
      <c r="M45" s="77" t="s">
        <v>374</v>
      </c>
      <c r="N45" s="725"/>
      <c r="O45" s="77"/>
      <c r="P45" s="77"/>
    </row>
    <row r="46" spans="1:16">
      <c r="A46" s="722"/>
      <c r="B46" s="595">
        <v>46199</v>
      </c>
      <c r="C46" s="78">
        <v>46219</v>
      </c>
      <c r="D46" s="315">
        <v>71</v>
      </c>
      <c r="E46" s="110">
        <v>3219930</v>
      </c>
      <c r="F46" s="110" t="s">
        <v>349</v>
      </c>
      <c r="G46" s="77"/>
      <c r="H46" s="77"/>
      <c r="I46" s="77"/>
      <c r="J46" s="77"/>
      <c r="K46" s="77"/>
      <c r="L46" s="77"/>
      <c r="M46" s="77" t="s">
        <v>374</v>
      </c>
      <c r="N46" s="725"/>
      <c r="O46" s="77"/>
      <c r="P46" s="77"/>
    </row>
    <row r="47" spans="1:16">
      <c r="A47" s="722"/>
      <c r="B47" s="595">
        <v>46199</v>
      </c>
      <c r="C47" s="78">
        <v>46219</v>
      </c>
      <c r="D47" s="315">
        <v>71</v>
      </c>
      <c r="E47" s="110">
        <v>469136</v>
      </c>
      <c r="F47" s="110" t="s">
        <v>377</v>
      </c>
      <c r="G47" s="77"/>
      <c r="H47" s="77"/>
      <c r="I47" s="77"/>
      <c r="J47" s="77"/>
      <c r="K47" s="77"/>
      <c r="L47" s="77"/>
      <c r="M47" s="77" t="s">
        <v>374</v>
      </c>
      <c r="N47" s="725"/>
      <c r="O47" s="77"/>
      <c r="P47" s="77"/>
    </row>
    <row r="48" spans="1:16">
      <c r="A48" s="723"/>
      <c r="B48" s="595">
        <v>46199</v>
      </c>
      <c r="C48" s="78">
        <v>46219</v>
      </c>
      <c r="D48" s="315">
        <v>71</v>
      </c>
      <c r="E48" s="110">
        <v>20730</v>
      </c>
      <c r="F48" s="110" t="s">
        <v>378</v>
      </c>
      <c r="G48" s="358"/>
      <c r="H48" s="358"/>
      <c r="I48" s="358"/>
      <c r="J48" s="358"/>
      <c r="K48" s="358"/>
      <c r="L48" s="358"/>
      <c r="M48" s="358" t="s">
        <v>374</v>
      </c>
      <c r="N48" s="725"/>
      <c r="O48" s="358"/>
      <c r="P48" s="358"/>
    </row>
    <row r="49" spans="1:16">
      <c r="A49" s="649" t="s">
        <v>71</v>
      </c>
      <c r="B49" s="595">
        <v>46199</v>
      </c>
      <c r="C49" s="78">
        <v>46219</v>
      </c>
      <c r="D49" s="315">
        <v>71</v>
      </c>
      <c r="E49" s="65">
        <v>1752939</v>
      </c>
      <c r="F49" s="516" t="s">
        <v>379</v>
      </c>
      <c r="G49" s="77"/>
      <c r="H49" s="77"/>
      <c r="I49" s="77"/>
      <c r="J49" s="77"/>
      <c r="K49" s="77"/>
      <c r="L49" s="77"/>
      <c r="M49" s="106" t="s">
        <v>380</v>
      </c>
      <c r="N49" s="726">
        <v>0.2</v>
      </c>
      <c r="O49" s="77"/>
      <c r="P49" s="77"/>
    </row>
    <row r="50" spans="1:16">
      <c r="A50" s="651"/>
      <c r="B50" s="595">
        <v>46199</v>
      </c>
      <c r="C50" s="78">
        <v>46219</v>
      </c>
      <c r="D50" s="315">
        <v>71</v>
      </c>
      <c r="E50" s="66">
        <v>3772828</v>
      </c>
      <c r="F50" s="517" t="s">
        <v>381</v>
      </c>
      <c r="G50" s="77"/>
      <c r="H50" s="77"/>
      <c r="I50" s="77"/>
      <c r="J50" s="77"/>
      <c r="K50" s="77"/>
      <c r="L50" s="77"/>
      <c r="M50" s="106" t="s">
        <v>382</v>
      </c>
      <c r="N50" s="701"/>
      <c r="O50" s="77"/>
      <c r="P50" s="77"/>
    </row>
    <row r="51" spans="1:16">
      <c r="A51" s="651"/>
      <c r="B51" s="595">
        <v>46199</v>
      </c>
      <c r="C51" s="78">
        <v>46219</v>
      </c>
      <c r="D51" s="315">
        <v>71</v>
      </c>
      <c r="E51" s="66">
        <v>210411</v>
      </c>
      <c r="F51" s="517" t="s">
        <v>383</v>
      </c>
      <c r="G51" s="77"/>
      <c r="H51" s="77"/>
      <c r="I51" s="77"/>
      <c r="J51" s="77"/>
      <c r="K51" s="77"/>
      <c r="L51" s="77"/>
      <c r="M51" s="106" t="s">
        <v>380</v>
      </c>
      <c r="N51" s="701"/>
      <c r="O51" s="77"/>
      <c r="P51" s="77"/>
    </row>
    <row r="52" spans="1:16">
      <c r="A52" s="651"/>
      <c r="B52" s="595">
        <v>46199</v>
      </c>
      <c r="C52" s="78">
        <v>46219</v>
      </c>
      <c r="D52" s="315">
        <v>71</v>
      </c>
      <c r="E52" s="66">
        <v>3809968</v>
      </c>
      <c r="F52" s="517" t="s">
        <v>384</v>
      </c>
      <c r="G52" s="77"/>
      <c r="H52" s="77"/>
      <c r="I52" s="77"/>
      <c r="J52" s="77"/>
      <c r="K52" s="77"/>
      <c r="L52" s="77"/>
      <c r="M52" s="106" t="s">
        <v>380</v>
      </c>
      <c r="N52" s="701"/>
      <c r="O52" s="77"/>
      <c r="P52" s="77"/>
    </row>
    <row r="53" spans="1:16">
      <c r="A53" s="651"/>
      <c r="B53" s="595">
        <v>46199</v>
      </c>
      <c r="C53" s="78">
        <v>46219</v>
      </c>
      <c r="D53" s="315">
        <v>71</v>
      </c>
      <c r="E53" s="66">
        <v>3524568</v>
      </c>
      <c r="F53" s="118" t="s">
        <v>385</v>
      </c>
      <c r="G53" s="77"/>
      <c r="H53" s="77"/>
      <c r="I53" s="77"/>
      <c r="J53" s="77"/>
      <c r="K53" s="77"/>
      <c r="L53" s="77"/>
      <c r="M53" s="106" t="s">
        <v>380</v>
      </c>
      <c r="N53" s="701"/>
      <c r="O53" s="77"/>
      <c r="P53" s="77"/>
    </row>
    <row r="54" spans="1:16">
      <c r="A54" s="651"/>
      <c r="B54" s="595">
        <v>46199</v>
      </c>
      <c r="C54" s="78">
        <v>46219</v>
      </c>
      <c r="D54" s="315">
        <v>71</v>
      </c>
      <c r="E54" s="66">
        <v>619228</v>
      </c>
      <c r="F54" s="118" t="s">
        <v>386</v>
      </c>
      <c r="G54" s="77"/>
      <c r="H54" s="77"/>
      <c r="I54" s="77"/>
      <c r="J54" s="77"/>
      <c r="K54" s="77"/>
      <c r="L54" s="77"/>
      <c r="M54" s="106" t="s">
        <v>380</v>
      </c>
      <c r="N54" s="701"/>
      <c r="O54" s="77"/>
      <c r="P54" s="77"/>
    </row>
    <row r="55" spans="1:16">
      <c r="A55" s="650"/>
      <c r="B55" s="599">
        <v>46199</v>
      </c>
      <c r="C55" s="138">
        <v>46219</v>
      </c>
      <c r="D55" s="514">
        <v>71</v>
      </c>
      <c r="E55" s="146">
        <v>3053048</v>
      </c>
      <c r="F55" s="64" t="s">
        <v>387</v>
      </c>
      <c r="G55" s="358"/>
      <c r="H55" s="358"/>
      <c r="I55" s="358"/>
      <c r="J55" s="358"/>
      <c r="K55" s="358"/>
      <c r="L55" s="358"/>
      <c r="M55" s="113" t="s">
        <v>380</v>
      </c>
      <c r="N55" s="649"/>
      <c r="O55" s="358"/>
      <c r="P55" s="358"/>
    </row>
    <row r="56" spans="1:16">
      <c r="A56" s="94" t="s">
        <v>71</v>
      </c>
      <c r="B56" s="599">
        <v>46199</v>
      </c>
      <c r="C56" s="138">
        <v>46219</v>
      </c>
      <c r="D56" s="514">
        <v>71</v>
      </c>
      <c r="E56" s="139">
        <v>3736792</v>
      </c>
      <c r="F56" s="113" t="s">
        <v>388</v>
      </c>
      <c r="G56" s="358"/>
      <c r="H56" s="358"/>
      <c r="I56" s="358"/>
      <c r="J56" s="358"/>
      <c r="K56" s="358"/>
      <c r="L56" s="358"/>
      <c r="M56" s="358" t="s">
        <v>389</v>
      </c>
      <c r="N56" s="518">
        <v>0.2</v>
      </c>
      <c r="O56" s="358"/>
      <c r="P56" s="358"/>
    </row>
    <row r="57" spans="1:16">
      <c r="A57" s="649" t="s">
        <v>130</v>
      </c>
      <c r="B57" s="595">
        <v>46199</v>
      </c>
      <c r="C57" s="78">
        <v>46219</v>
      </c>
      <c r="D57" s="315">
        <v>71</v>
      </c>
      <c r="E57" s="110">
        <v>3180534</v>
      </c>
      <c r="F57" s="110" t="s">
        <v>390</v>
      </c>
      <c r="G57" s="77"/>
      <c r="H57" s="77"/>
      <c r="I57" s="77"/>
      <c r="J57" s="77"/>
      <c r="K57" s="77"/>
      <c r="L57" s="77"/>
      <c r="M57" s="110" t="s">
        <v>391</v>
      </c>
      <c r="N57" s="726">
        <v>0.2</v>
      </c>
      <c r="O57" s="77"/>
      <c r="P57" s="77"/>
    </row>
    <row r="58" spans="1:16">
      <c r="A58" s="651"/>
      <c r="B58" s="595">
        <v>46199</v>
      </c>
      <c r="C58" s="78">
        <v>46219</v>
      </c>
      <c r="D58" s="315">
        <v>71</v>
      </c>
      <c r="E58" s="110">
        <v>3780191</v>
      </c>
      <c r="F58" s="110" t="s">
        <v>392</v>
      </c>
      <c r="G58" s="77"/>
      <c r="H58" s="77"/>
      <c r="I58" s="77"/>
      <c r="J58" s="77"/>
      <c r="K58" s="77"/>
      <c r="L58" s="77"/>
      <c r="M58" s="110" t="s">
        <v>393</v>
      </c>
      <c r="N58" s="726"/>
      <c r="O58" s="77"/>
      <c r="P58" s="77"/>
    </row>
    <row r="59" spans="1:16">
      <c r="A59" s="651"/>
      <c r="B59" s="595">
        <v>46199</v>
      </c>
      <c r="C59" s="78">
        <v>46219</v>
      </c>
      <c r="D59" s="315">
        <v>71</v>
      </c>
      <c r="E59" s="110">
        <v>3780192</v>
      </c>
      <c r="F59" s="110" t="s">
        <v>394</v>
      </c>
      <c r="G59" s="77"/>
      <c r="H59" s="77"/>
      <c r="I59" s="77"/>
      <c r="J59" s="77"/>
      <c r="K59" s="77"/>
      <c r="L59" s="77"/>
      <c r="M59" s="110" t="s">
        <v>393</v>
      </c>
      <c r="N59" s="726"/>
      <c r="O59" s="77"/>
      <c r="P59" s="77"/>
    </row>
    <row r="60" spans="1:16">
      <c r="A60" s="650"/>
      <c r="B60" s="599">
        <v>46199</v>
      </c>
      <c r="C60" s="138">
        <v>46219</v>
      </c>
      <c r="D60" s="514">
        <v>71</v>
      </c>
      <c r="E60" s="139">
        <v>3780193</v>
      </c>
      <c r="F60" s="139" t="s">
        <v>395</v>
      </c>
      <c r="G60" s="358"/>
      <c r="H60" s="358"/>
      <c r="I60" s="358"/>
      <c r="J60" s="358"/>
      <c r="K60" s="358"/>
      <c r="L60" s="358"/>
      <c r="M60" s="139" t="s">
        <v>393</v>
      </c>
      <c r="N60" s="724"/>
      <c r="O60" s="358"/>
      <c r="P60" s="358"/>
    </row>
    <row r="61" spans="1:16">
      <c r="A61" s="649" t="s">
        <v>130</v>
      </c>
      <c r="B61" s="595">
        <v>46199</v>
      </c>
      <c r="C61" s="78">
        <v>46219</v>
      </c>
      <c r="D61" s="315">
        <v>71</v>
      </c>
      <c r="E61" s="110">
        <v>3253475</v>
      </c>
      <c r="F61" s="110" t="s">
        <v>396</v>
      </c>
      <c r="G61" s="77"/>
      <c r="H61" s="77"/>
      <c r="I61" s="77"/>
      <c r="J61" s="77"/>
      <c r="K61" s="77"/>
      <c r="L61" s="77"/>
      <c r="M61" s="110" t="s">
        <v>397</v>
      </c>
      <c r="N61" s="726">
        <v>0.2</v>
      </c>
      <c r="O61" s="77"/>
      <c r="P61" s="77"/>
    </row>
    <row r="62" spans="1:16">
      <c r="A62" s="651"/>
      <c r="B62" s="595">
        <v>46199</v>
      </c>
      <c r="C62" s="78">
        <v>46219</v>
      </c>
      <c r="D62" s="315">
        <v>71</v>
      </c>
      <c r="E62" s="110">
        <v>3264824</v>
      </c>
      <c r="F62" s="110" t="s">
        <v>398</v>
      </c>
      <c r="G62" s="77"/>
      <c r="H62" s="77"/>
      <c r="I62" s="77"/>
      <c r="J62" s="77"/>
      <c r="K62" s="77"/>
      <c r="L62" s="77"/>
      <c r="M62" s="110" t="s">
        <v>397</v>
      </c>
      <c r="N62" s="726"/>
      <c r="O62" s="77"/>
      <c r="P62" s="77"/>
    </row>
    <row r="63" spans="1:16">
      <c r="A63" s="650"/>
      <c r="B63" s="595">
        <v>46199</v>
      </c>
      <c r="C63" s="78">
        <v>46219</v>
      </c>
      <c r="D63" s="315">
        <v>71</v>
      </c>
      <c r="E63" s="110">
        <v>725309</v>
      </c>
      <c r="F63" s="110" t="s">
        <v>399</v>
      </c>
      <c r="G63" s="358"/>
      <c r="H63" s="358"/>
      <c r="I63" s="358"/>
      <c r="J63" s="358"/>
      <c r="K63" s="358"/>
      <c r="L63" s="358"/>
      <c r="M63" s="139" t="s">
        <v>400</v>
      </c>
      <c r="N63" s="724"/>
      <c r="O63" s="358"/>
      <c r="P63" s="358"/>
    </row>
    <row r="64" spans="1:16">
      <c r="A64" s="649" t="s">
        <v>130</v>
      </c>
      <c r="B64" s="595">
        <v>46199</v>
      </c>
      <c r="C64" s="78">
        <v>46219</v>
      </c>
      <c r="D64" s="315">
        <v>71</v>
      </c>
      <c r="E64" s="65">
        <v>231158</v>
      </c>
      <c r="F64" s="519" t="s">
        <v>401</v>
      </c>
      <c r="G64" s="77"/>
      <c r="H64" s="77"/>
      <c r="I64" s="77"/>
      <c r="J64" s="77"/>
      <c r="K64" s="77"/>
      <c r="L64" s="77"/>
      <c r="M64" s="77" t="s">
        <v>402</v>
      </c>
      <c r="N64" s="724">
        <v>0.3</v>
      </c>
      <c r="O64" s="77"/>
      <c r="P64" s="77"/>
    </row>
    <row r="65" spans="1:16">
      <c r="A65" s="651"/>
      <c r="B65" s="595">
        <v>46199</v>
      </c>
      <c r="C65" s="78">
        <v>46219</v>
      </c>
      <c r="D65" s="315">
        <v>71</v>
      </c>
      <c r="E65" s="66">
        <v>414882</v>
      </c>
      <c r="F65" s="248" t="s">
        <v>403</v>
      </c>
      <c r="G65" s="77"/>
      <c r="H65" s="77"/>
      <c r="I65" s="77"/>
      <c r="J65" s="77"/>
      <c r="K65" s="77"/>
      <c r="L65" s="77"/>
      <c r="M65" s="77" t="s">
        <v>402</v>
      </c>
      <c r="N65" s="651"/>
      <c r="O65" s="77"/>
      <c r="P65" s="77"/>
    </row>
    <row r="66" spans="1:16">
      <c r="A66" s="651"/>
      <c r="B66" s="595">
        <v>46199</v>
      </c>
      <c r="C66" s="78">
        <v>46219</v>
      </c>
      <c r="D66" s="315">
        <v>71</v>
      </c>
      <c r="E66" s="66">
        <v>6090</v>
      </c>
      <c r="F66" s="248" t="s">
        <v>404</v>
      </c>
      <c r="G66" s="77"/>
      <c r="H66" s="77"/>
      <c r="I66" s="77"/>
      <c r="J66" s="77"/>
      <c r="K66" s="77"/>
      <c r="L66" s="77"/>
      <c r="M66" s="77" t="s">
        <v>402</v>
      </c>
      <c r="N66" s="651"/>
      <c r="O66" s="77"/>
      <c r="P66" s="77"/>
    </row>
    <row r="67" spans="1:16">
      <c r="A67" s="650"/>
      <c r="B67" s="595">
        <v>46199</v>
      </c>
      <c r="C67" s="78">
        <v>46219</v>
      </c>
      <c r="D67" s="315">
        <v>71</v>
      </c>
      <c r="E67" s="66">
        <v>3055886</v>
      </c>
      <c r="F67" s="248" t="s">
        <v>405</v>
      </c>
      <c r="G67" s="77"/>
      <c r="H67" s="77"/>
      <c r="I67" s="77"/>
      <c r="J67" s="77"/>
      <c r="K67" s="77"/>
      <c r="L67" s="77"/>
      <c r="M67" s="77" t="s">
        <v>402</v>
      </c>
      <c r="N67" s="650"/>
      <c r="O67" s="77"/>
      <c r="P67" s="77"/>
    </row>
  </sheetData>
  <mergeCells count="25">
    <mergeCell ref="A43:A48"/>
    <mergeCell ref="A40:A42"/>
    <mergeCell ref="N64:N67"/>
    <mergeCell ref="A64:A67"/>
    <mergeCell ref="A61:A63"/>
    <mergeCell ref="A57:A60"/>
    <mergeCell ref="A49:A55"/>
    <mergeCell ref="N43:N48"/>
    <mergeCell ref="N49:N55"/>
    <mergeCell ref="N57:N60"/>
    <mergeCell ref="N61:N63"/>
    <mergeCell ref="P3:P8"/>
    <mergeCell ref="P10:P12"/>
    <mergeCell ref="A14:A17"/>
    <mergeCell ref="N27:N32"/>
    <mergeCell ref="N33:N38"/>
    <mergeCell ref="A19:A21"/>
    <mergeCell ref="A22:A24"/>
    <mergeCell ref="A25:A26"/>
    <mergeCell ref="A27:A32"/>
    <mergeCell ref="A33:A38"/>
    <mergeCell ref="A10:A12"/>
    <mergeCell ref="N19:N21"/>
    <mergeCell ref="N22:N24"/>
    <mergeCell ref="A3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63A6-C158-4267-8572-C990C1512808}">
  <sheetPr>
    <tabColor theme="4" tint="0.79998168889431442"/>
  </sheetPr>
  <dimension ref="A1:T372"/>
  <sheetViews>
    <sheetView topLeftCell="E1" zoomScale="86" zoomScaleNormal="86" workbookViewId="0">
      <pane ySplit="1" topLeftCell="A71" activePane="bottomLeft" state="frozen"/>
      <selection pane="bottomLeft" activeCell="G34" sqref="G34"/>
    </sheetView>
  </sheetViews>
  <sheetFormatPr baseColWidth="10" defaultColWidth="11.42578125" defaultRowHeight="15.75"/>
  <cols>
    <col min="2" max="2" width="13.140625" customWidth="1"/>
    <col min="3" max="3" width="12.28515625" style="25" bestFit="1" customWidth="1"/>
    <col min="4" max="4" width="10.42578125" style="25" bestFit="1" customWidth="1"/>
    <col min="5" max="5" width="11.85546875" style="8" bestFit="1" customWidth="1"/>
    <col min="6" max="6" width="13" style="41" customWidth="1"/>
    <col min="7" max="7" width="65" style="11" bestFit="1" customWidth="1"/>
    <col min="8" max="8" width="15" style="8" customWidth="1"/>
    <col min="9" max="9" width="18.140625" style="8" customWidth="1"/>
    <col min="10" max="10" width="10" style="8" customWidth="1"/>
    <col min="11" max="12" width="12.5703125" style="8" customWidth="1"/>
    <col min="13" max="13" width="10.42578125" style="8" customWidth="1"/>
    <col min="14" max="14" width="21.85546875" style="11" bestFit="1" customWidth="1"/>
    <col min="15" max="15" width="17.5703125" style="26" customWidth="1"/>
    <col min="16" max="16" width="16.28515625" style="263" bestFit="1" customWidth="1"/>
    <col min="17" max="17" width="32.42578125" style="22" customWidth="1"/>
    <col min="18" max="18" width="29.140625" customWidth="1"/>
    <col min="19" max="19" width="20.85546875" customWidth="1"/>
    <col min="20" max="20" width="13.85546875" bestFit="1" customWidth="1"/>
  </cols>
  <sheetData>
    <row r="1" spans="1:20" s="10" customFormat="1">
      <c r="A1" s="40"/>
      <c r="B1" s="31" t="s">
        <v>65</v>
      </c>
      <c r="C1" s="15" t="s">
        <v>66</v>
      </c>
      <c r="D1" s="15" t="s">
        <v>67</v>
      </c>
      <c r="E1" s="15" t="s">
        <v>3</v>
      </c>
      <c r="F1" s="14" t="s">
        <v>11</v>
      </c>
      <c r="G1" s="14" t="s">
        <v>68</v>
      </c>
      <c r="H1" s="15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13</v>
      </c>
      <c r="P1" s="14" t="s">
        <v>14</v>
      </c>
      <c r="Q1" s="14" t="s">
        <v>70</v>
      </c>
      <c r="R1" s="36" t="s">
        <v>19</v>
      </c>
      <c r="S1" s="40"/>
      <c r="T1" s="40"/>
    </row>
    <row r="2" spans="1:20">
      <c r="A2" s="728" t="s">
        <v>406</v>
      </c>
      <c r="B2" s="740" t="s">
        <v>407</v>
      </c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2"/>
      <c r="Q2" s="88"/>
      <c r="R2" s="22"/>
      <c r="S2" s="22"/>
    </row>
    <row r="3" spans="1:20">
      <c r="A3" s="728"/>
      <c r="B3" s="192"/>
      <c r="C3" s="192"/>
      <c r="D3" s="192"/>
      <c r="E3" s="192"/>
      <c r="F3" s="192"/>
      <c r="G3" s="219" t="s">
        <v>408</v>
      </c>
      <c r="H3" s="192"/>
      <c r="I3" s="192"/>
      <c r="J3" s="192"/>
      <c r="K3" s="192"/>
      <c r="L3" s="192"/>
      <c r="M3" s="192"/>
      <c r="N3" s="192"/>
      <c r="O3" s="192"/>
      <c r="P3" s="192"/>
      <c r="Q3" s="134"/>
      <c r="R3" s="22"/>
      <c r="S3" s="22"/>
    </row>
    <row r="4" spans="1:20">
      <c r="A4" s="728"/>
      <c r="B4" s="752" t="s">
        <v>71</v>
      </c>
      <c r="C4" s="193">
        <v>46199</v>
      </c>
      <c r="D4" s="140">
        <v>46219</v>
      </c>
      <c r="E4" s="194">
        <v>58</v>
      </c>
      <c r="F4" s="195">
        <v>1049154</v>
      </c>
      <c r="G4" s="196" t="s">
        <v>409</v>
      </c>
      <c r="H4" s="197"/>
      <c r="I4" s="198"/>
      <c r="J4" s="76"/>
      <c r="K4" s="76"/>
      <c r="L4" s="76"/>
      <c r="M4" s="76"/>
      <c r="N4" s="199"/>
      <c r="O4" s="200">
        <v>8900</v>
      </c>
      <c r="P4" s="201"/>
      <c r="Q4" s="202"/>
      <c r="R4" s="22"/>
      <c r="S4" s="22"/>
    </row>
    <row r="5" spans="1:20">
      <c r="A5" s="728"/>
      <c r="B5" s="750"/>
      <c r="C5" s="52">
        <v>46199</v>
      </c>
      <c r="D5" s="78">
        <v>46219</v>
      </c>
      <c r="E5" s="74">
        <v>58</v>
      </c>
      <c r="F5" s="165">
        <v>3174592</v>
      </c>
      <c r="G5" s="175" t="s">
        <v>410</v>
      </c>
      <c r="H5" s="80"/>
      <c r="I5" s="75"/>
      <c r="J5" s="7"/>
      <c r="K5" s="7"/>
      <c r="L5" s="7"/>
      <c r="M5" s="7"/>
      <c r="N5" s="9"/>
      <c r="O5" s="190">
        <v>8900</v>
      </c>
      <c r="P5" s="45"/>
      <c r="Q5" s="23"/>
      <c r="R5" s="22"/>
      <c r="S5" s="22"/>
    </row>
    <row r="6" spans="1:20">
      <c r="A6" s="728"/>
      <c r="B6" s="751"/>
      <c r="C6" s="52">
        <v>46199</v>
      </c>
      <c r="D6" s="78">
        <v>46219</v>
      </c>
      <c r="E6" s="74">
        <v>58</v>
      </c>
      <c r="F6" s="139">
        <v>3656700</v>
      </c>
      <c r="G6" s="206" t="s">
        <v>411</v>
      </c>
      <c r="H6" s="80"/>
      <c r="I6" s="75"/>
      <c r="J6" s="7"/>
      <c r="K6" s="7"/>
      <c r="L6" s="7"/>
      <c r="M6" s="7"/>
      <c r="N6" s="9"/>
      <c r="O6" s="190">
        <v>8900</v>
      </c>
      <c r="P6" s="45"/>
      <c r="Q6" s="23"/>
      <c r="R6" s="22"/>
      <c r="S6" s="22"/>
    </row>
    <row r="7" spans="1:20">
      <c r="A7" s="728"/>
      <c r="B7" s="120"/>
      <c r="C7" s="121"/>
      <c r="D7" s="122"/>
      <c r="E7" s="203">
        <v>58</v>
      </c>
      <c r="F7" s="330"/>
      <c r="G7" s="520" t="s">
        <v>412</v>
      </c>
      <c r="H7" s="205"/>
      <c r="I7" s="204"/>
      <c r="J7" s="127"/>
      <c r="K7" s="127"/>
      <c r="L7" s="127"/>
      <c r="M7" s="127"/>
      <c r="N7" s="128"/>
      <c r="O7" s="129"/>
      <c r="P7" s="129"/>
      <c r="Q7" s="191"/>
      <c r="R7" s="22"/>
      <c r="S7" s="22"/>
    </row>
    <row r="8" spans="1:20">
      <c r="A8" s="728"/>
      <c r="B8" s="749" t="s">
        <v>71</v>
      </c>
      <c r="C8" s="52">
        <v>46199</v>
      </c>
      <c r="D8" s="78">
        <v>46219</v>
      </c>
      <c r="E8" s="74">
        <v>58</v>
      </c>
      <c r="F8" s="157">
        <v>680641</v>
      </c>
      <c r="G8" s="176" t="s">
        <v>413</v>
      </c>
      <c r="H8" s="80"/>
      <c r="I8" s="75"/>
      <c r="J8" s="7"/>
      <c r="K8" s="7"/>
      <c r="L8" s="7"/>
      <c r="M8" s="7"/>
      <c r="N8" s="9"/>
      <c r="O8" s="743" t="s">
        <v>414</v>
      </c>
      <c r="P8" s="45"/>
      <c r="Q8" s="23"/>
      <c r="R8" s="22"/>
      <c r="S8" s="22"/>
    </row>
    <row r="9" spans="1:20">
      <c r="A9" s="728"/>
      <c r="B9" s="750"/>
      <c r="C9" s="52">
        <v>46199</v>
      </c>
      <c r="D9" s="78">
        <v>46219</v>
      </c>
      <c r="E9" s="74">
        <v>58</v>
      </c>
      <c r="F9" s="157">
        <v>638484</v>
      </c>
      <c r="G9" s="176" t="s">
        <v>415</v>
      </c>
      <c r="H9" s="80"/>
      <c r="I9" s="75"/>
      <c r="J9" s="7"/>
      <c r="K9" s="7"/>
      <c r="L9" s="7"/>
      <c r="M9" s="7"/>
      <c r="N9" s="9"/>
      <c r="O9" s="744"/>
      <c r="P9" s="45"/>
      <c r="Q9" s="23"/>
      <c r="R9" s="22"/>
      <c r="S9" s="22"/>
    </row>
    <row r="10" spans="1:20">
      <c r="A10" s="728"/>
      <c r="B10" s="750"/>
      <c r="C10" s="52">
        <v>46199</v>
      </c>
      <c r="D10" s="78">
        <v>46219</v>
      </c>
      <c r="E10" s="7">
        <v>58</v>
      </c>
      <c r="F10" s="157">
        <v>1075805</v>
      </c>
      <c r="G10" s="176" t="s">
        <v>416</v>
      </c>
      <c r="H10" s="189"/>
      <c r="I10" s="7"/>
      <c r="J10" s="7"/>
      <c r="K10" s="7"/>
      <c r="L10" s="7"/>
      <c r="M10" s="7"/>
      <c r="N10" s="9"/>
      <c r="O10" s="744"/>
      <c r="P10" s="45"/>
      <c r="Q10" s="23"/>
      <c r="R10" s="22"/>
      <c r="S10" s="22"/>
    </row>
    <row r="11" spans="1:20">
      <c r="A11" s="728"/>
      <c r="B11" s="750"/>
      <c r="C11" s="52">
        <v>46199</v>
      </c>
      <c r="D11" s="78">
        <v>46219</v>
      </c>
      <c r="E11" s="7">
        <v>58</v>
      </c>
      <c r="F11" s="157">
        <v>659642</v>
      </c>
      <c r="G11" s="176" t="s">
        <v>417</v>
      </c>
      <c r="H11" s="28"/>
      <c r="I11" s="7"/>
      <c r="J11" s="7"/>
      <c r="K11" s="7"/>
      <c r="L11" s="7"/>
      <c r="M11" s="7"/>
      <c r="N11" s="9"/>
      <c r="O11" s="744"/>
      <c r="P11" s="45"/>
      <c r="Q11" s="23"/>
      <c r="R11" s="22"/>
      <c r="S11" s="22"/>
    </row>
    <row r="12" spans="1:20">
      <c r="A12" s="728"/>
      <c r="B12" s="750"/>
      <c r="C12" s="52">
        <v>46199</v>
      </c>
      <c r="D12" s="78">
        <v>46219</v>
      </c>
      <c r="E12" s="7">
        <v>58</v>
      </c>
      <c r="F12" s="157">
        <v>1415258</v>
      </c>
      <c r="G12" s="176" t="s">
        <v>418</v>
      </c>
      <c r="H12" s="28"/>
      <c r="I12" s="7"/>
      <c r="J12" s="7"/>
      <c r="K12" s="7"/>
      <c r="L12" s="7"/>
      <c r="M12" s="7"/>
      <c r="N12" s="9"/>
      <c r="O12" s="744"/>
      <c r="P12" s="45"/>
      <c r="Q12" s="23"/>
      <c r="R12" s="22"/>
      <c r="S12" s="22"/>
    </row>
    <row r="13" spans="1:20">
      <c r="A13" s="728"/>
      <c r="B13" s="750"/>
      <c r="C13" s="52">
        <v>46199</v>
      </c>
      <c r="D13" s="78">
        <v>46219</v>
      </c>
      <c r="E13" s="7">
        <v>58</v>
      </c>
      <c r="F13" s="157">
        <v>1415259</v>
      </c>
      <c r="G13" s="176" t="s">
        <v>419</v>
      </c>
      <c r="H13" s="28"/>
      <c r="I13" s="7"/>
      <c r="J13" s="7"/>
      <c r="K13" s="7"/>
      <c r="L13" s="7"/>
      <c r="M13" s="7"/>
      <c r="N13" s="9"/>
      <c r="O13" s="744"/>
      <c r="P13" s="45"/>
      <c r="Q13" s="23"/>
      <c r="R13" s="22"/>
      <c r="S13" s="22"/>
    </row>
    <row r="14" spans="1:20">
      <c r="A14" s="728"/>
      <c r="B14" s="750"/>
      <c r="C14" s="52">
        <v>46199</v>
      </c>
      <c r="D14" s="78">
        <v>46219</v>
      </c>
      <c r="E14" s="7">
        <v>58</v>
      </c>
      <c r="F14" s="157">
        <v>1075803</v>
      </c>
      <c r="G14" s="176" t="s">
        <v>420</v>
      </c>
      <c r="H14" s="28"/>
      <c r="I14" s="7"/>
      <c r="J14" s="7"/>
      <c r="K14" s="7"/>
      <c r="L14" s="7"/>
      <c r="M14" s="7"/>
      <c r="N14" s="9"/>
      <c r="O14" s="744"/>
      <c r="P14" s="45"/>
      <c r="Q14" s="23"/>
      <c r="R14" s="22"/>
      <c r="S14" s="22"/>
    </row>
    <row r="15" spans="1:20">
      <c r="A15" s="728"/>
      <c r="B15" s="750"/>
      <c r="C15" s="52">
        <v>46199</v>
      </c>
      <c r="D15" s="78">
        <v>46219</v>
      </c>
      <c r="E15" s="7">
        <v>58</v>
      </c>
      <c r="F15" s="157">
        <v>190574</v>
      </c>
      <c r="G15" s="176" t="s">
        <v>421</v>
      </c>
      <c r="H15" s="28"/>
      <c r="I15" s="7"/>
      <c r="J15" s="7"/>
      <c r="K15" s="7"/>
      <c r="L15" s="7"/>
      <c r="M15" s="7"/>
      <c r="N15" s="9"/>
      <c r="O15" s="744"/>
      <c r="P15" s="45"/>
      <c r="Q15" s="23"/>
      <c r="R15" s="22"/>
      <c r="S15" s="22"/>
    </row>
    <row r="16" spans="1:20">
      <c r="A16" s="728"/>
      <c r="B16" s="750"/>
      <c r="C16" s="52">
        <v>46199</v>
      </c>
      <c r="D16" s="78">
        <v>46219</v>
      </c>
      <c r="E16" s="7">
        <v>58</v>
      </c>
      <c r="F16" s="157">
        <v>1504967</v>
      </c>
      <c r="G16" s="176" t="s">
        <v>422</v>
      </c>
      <c r="H16" s="28"/>
      <c r="I16" s="7"/>
      <c r="J16" s="7"/>
      <c r="K16" s="7"/>
      <c r="L16" s="7"/>
      <c r="M16" s="7"/>
      <c r="N16" s="23"/>
      <c r="O16" s="744"/>
      <c r="P16" s="45"/>
      <c r="Q16" s="23"/>
      <c r="R16" s="22"/>
      <c r="S16" s="22"/>
    </row>
    <row r="17" spans="1:19">
      <c r="A17" s="728"/>
      <c r="B17" s="750"/>
      <c r="C17" s="52">
        <v>46199</v>
      </c>
      <c r="D17" s="78">
        <v>46219</v>
      </c>
      <c r="E17" s="7">
        <v>58</v>
      </c>
      <c r="F17" s="157">
        <v>1415256</v>
      </c>
      <c r="G17" s="176" t="s">
        <v>423</v>
      </c>
      <c r="H17" s="28"/>
      <c r="I17" s="7"/>
      <c r="J17" s="7"/>
      <c r="K17" s="7"/>
      <c r="L17" s="7"/>
      <c r="M17" s="7"/>
      <c r="N17" s="9"/>
      <c r="O17" s="744"/>
      <c r="P17" s="45"/>
      <c r="Q17" s="23"/>
      <c r="R17" s="22"/>
      <c r="S17" s="22"/>
    </row>
    <row r="18" spans="1:19">
      <c r="A18" s="728"/>
      <c r="B18" s="750"/>
      <c r="C18" s="52">
        <v>46199</v>
      </c>
      <c r="D18" s="78">
        <v>46219</v>
      </c>
      <c r="E18" s="7">
        <v>58</v>
      </c>
      <c r="F18" s="157">
        <v>1075802</v>
      </c>
      <c r="G18" s="176" t="s">
        <v>424</v>
      </c>
      <c r="H18" s="21"/>
      <c r="I18" s="7"/>
      <c r="J18" s="7"/>
      <c r="K18" s="7"/>
      <c r="L18" s="7"/>
      <c r="M18" s="7"/>
      <c r="N18" s="9"/>
      <c r="O18" s="744"/>
      <c r="P18" s="45"/>
      <c r="Q18" s="23"/>
      <c r="R18" s="22"/>
      <c r="S18" s="22"/>
    </row>
    <row r="19" spans="1:19">
      <c r="A19" s="728"/>
      <c r="B19" s="750"/>
      <c r="C19" s="52">
        <v>46199</v>
      </c>
      <c r="D19" s="78">
        <v>46219</v>
      </c>
      <c r="E19" s="7">
        <v>58</v>
      </c>
      <c r="F19" s="157">
        <v>92555</v>
      </c>
      <c r="G19" s="176" t="s">
        <v>425</v>
      </c>
      <c r="H19" s="21"/>
      <c r="I19" s="7"/>
      <c r="J19" s="7"/>
      <c r="K19" s="7"/>
      <c r="L19" s="7"/>
      <c r="M19" s="7"/>
      <c r="N19" s="9"/>
      <c r="O19" s="744"/>
      <c r="P19" s="45"/>
      <c r="Q19" s="23"/>
      <c r="R19" s="22"/>
      <c r="S19" s="22"/>
    </row>
    <row r="20" spans="1:19">
      <c r="A20" s="728"/>
      <c r="B20" s="750"/>
      <c r="C20" s="52">
        <v>46199</v>
      </c>
      <c r="D20" s="78">
        <v>46219</v>
      </c>
      <c r="E20" s="7">
        <v>58</v>
      </c>
      <c r="F20" s="157">
        <v>3658329</v>
      </c>
      <c r="G20" s="176" t="s">
        <v>426</v>
      </c>
      <c r="H20" s="28"/>
      <c r="I20" s="7"/>
      <c r="J20" s="7"/>
      <c r="K20" s="7"/>
      <c r="L20" s="7"/>
      <c r="M20" s="7"/>
      <c r="N20" s="23"/>
      <c r="O20" s="744"/>
      <c r="P20" s="45"/>
      <c r="Q20" s="217"/>
      <c r="R20" s="22"/>
      <c r="S20" s="22"/>
    </row>
    <row r="21" spans="1:19">
      <c r="A21" s="728"/>
      <c r="B21" s="750"/>
      <c r="C21" s="52">
        <v>46199</v>
      </c>
      <c r="D21" s="78">
        <v>46219</v>
      </c>
      <c r="E21" s="7">
        <v>58</v>
      </c>
      <c r="F21" s="157">
        <v>3658333</v>
      </c>
      <c r="G21" s="176" t="s">
        <v>427</v>
      </c>
      <c r="H21" s="28"/>
      <c r="I21" s="7"/>
      <c r="J21" s="7"/>
      <c r="K21" s="7"/>
      <c r="L21" s="7"/>
      <c r="M21" s="7"/>
      <c r="N21" s="9"/>
      <c r="O21" s="744"/>
      <c r="P21" s="87"/>
      <c r="Q21" s="82"/>
      <c r="R21" s="37"/>
      <c r="S21" s="22"/>
    </row>
    <row r="22" spans="1:19">
      <c r="A22" s="728"/>
      <c r="B22" s="750"/>
      <c r="C22" s="52">
        <v>46199</v>
      </c>
      <c r="D22" s="78">
        <v>46219</v>
      </c>
      <c r="E22" s="7">
        <v>58</v>
      </c>
      <c r="F22" s="157">
        <v>3658331</v>
      </c>
      <c r="G22" s="176" t="s">
        <v>428</v>
      </c>
      <c r="H22" s="28"/>
      <c r="I22" s="7"/>
      <c r="J22" s="7"/>
      <c r="K22" s="7"/>
      <c r="L22" s="7"/>
      <c r="M22" s="7"/>
      <c r="N22" s="23"/>
      <c r="O22" s="744"/>
      <c r="P22" s="259"/>
      <c r="Q22" s="82"/>
      <c r="R22" s="22"/>
      <c r="S22" s="22"/>
    </row>
    <row r="23" spans="1:19">
      <c r="A23" s="728"/>
      <c r="B23" s="751"/>
      <c r="C23" s="52">
        <v>46199</v>
      </c>
      <c r="D23" s="78">
        <v>46219</v>
      </c>
      <c r="E23" s="7">
        <v>58</v>
      </c>
      <c r="F23" s="157">
        <v>3669869</v>
      </c>
      <c r="G23" s="176" t="s">
        <v>429</v>
      </c>
      <c r="H23" s="28"/>
      <c r="I23" s="7"/>
      <c r="J23" s="7"/>
      <c r="K23" s="7"/>
      <c r="L23" s="7"/>
      <c r="M23" s="7"/>
      <c r="N23" s="23"/>
      <c r="O23" s="745"/>
      <c r="P23" s="87"/>
      <c r="Q23" s="82"/>
      <c r="R23" s="22"/>
      <c r="S23" s="22"/>
    </row>
    <row r="24" spans="1:19">
      <c r="A24" s="728"/>
      <c r="B24" s="208"/>
      <c r="C24" s="209"/>
      <c r="D24" s="210"/>
      <c r="E24" s="211"/>
      <c r="F24" s="212"/>
      <c r="G24" s="218" t="s">
        <v>430</v>
      </c>
      <c r="H24" s="213"/>
      <c r="I24" s="211"/>
      <c r="J24" s="211"/>
      <c r="K24" s="211"/>
      <c r="L24" s="211"/>
      <c r="M24" s="211"/>
      <c r="N24" s="214"/>
      <c r="O24" s="215"/>
      <c r="P24" s="216"/>
      <c r="Q24" s="134"/>
      <c r="R24" s="22"/>
      <c r="S24" s="22"/>
    </row>
    <row r="25" spans="1:19">
      <c r="A25" s="728"/>
      <c r="B25" s="649" t="s">
        <v>71</v>
      </c>
      <c r="C25" s="52">
        <v>46199</v>
      </c>
      <c r="D25" s="78">
        <v>46219</v>
      </c>
      <c r="E25" s="81">
        <v>58</v>
      </c>
      <c r="F25" s="110">
        <v>1565685</v>
      </c>
      <c r="G25" s="106" t="s">
        <v>431</v>
      </c>
      <c r="H25" s="83"/>
      <c r="I25" s="81"/>
      <c r="J25" s="81"/>
      <c r="K25" s="81"/>
      <c r="L25" s="81"/>
      <c r="M25" s="81"/>
      <c r="N25" s="83"/>
      <c r="O25" s="207">
        <v>2500</v>
      </c>
      <c r="P25" s="260"/>
      <c r="Q25" s="82"/>
    </row>
    <row r="26" spans="1:19">
      <c r="A26" s="728"/>
      <c r="B26" s="651"/>
      <c r="C26" s="52">
        <v>46199</v>
      </c>
      <c r="D26" s="78">
        <v>46219</v>
      </c>
      <c r="E26" s="81">
        <v>58</v>
      </c>
      <c r="F26" s="110">
        <v>1565686</v>
      </c>
      <c r="G26" s="106" t="s">
        <v>432</v>
      </c>
      <c r="H26" s="83"/>
      <c r="I26" s="81"/>
      <c r="J26" s="81"/>
      <c r="K26" s="81"/>
      <c r="L26" s="81"/>
      <c r="M26" s="81"/>
      <c r="N26" s="83"/>
      <c r="O26" s="207">
        <v>2500</v>
      </c>
      <c r="P26" s="260"/>
      <c r="Q26" s="82"/>
    </row>
    <row r="27" spans="1:19">
      <c r="A27" s="728"/>
      <c r="B27" s="651"/>
      <c r="C27" s="52">
        <v>46199</v>
      </c>
      <c r="D27" s="78">
        <v>46219</v>
      </c>
      <c r="E27" s="81">
        <v>58</v>
      </c>
      <c r="F27" s="110">
        <v>1565682</v>
      </c>
      <c r="G27" s="106" t="s">
        <v>433</v>
      </c>
      <c r="H27" s="83"/>
      <c r="I27" s="81"/>
      <c r="J27" s="81"/>
      <c r="K27" s="81"/>
      <c r="L27" s="81"/>
      <c r="M27" s="81"/>
      <c r="N27" s="83"/>
      <c r="O27" s="207">
        <v>2500</v>
      </c>
      <c r="P27" s="260"/>
      <c r="Q27" s="82"/>
    </row>
    <row r="28" spans="1:19">
      <c r="A28" s="728"/>
      <c r="B28" s="651"/>
      <c r="C28" s="52">
        <v>46199</v>
      </c>
      <c r="D28" s="78">
        <v>46219</v>
      </c>
      <c r="E28" s="81">
        <v>58</v>
      </c>
      <c r="F28" s="110">
        <v>3211064</v>
      </c>
      <c r="G28" s="106" t="s">
        <v>434</v>
      </c>
      <c r="H28" s="83"/>
      <c r="I28" s="81"/>
      <c r="J28" s="81"/>
      <c r="K28" s="81"/>
      <c r="L28" s="81"/>
      <c r="M28" s="81"/>
      <c r="N28" s="83"/>
      <c r="O28" s="207">
        <v>2500</v>
      </c>
      <c r="P28" s="260"/>
      <c r="Q28" s="82"/>
    </row>
    <row r="29" spans="1:19">
      <c r="A29" s="728"/>
      <c r="B29" s="651"/>
      <c r="C29" s="52">
        <v>46199</v>
      </c>
      <c r="D29" s="78">
        <v>46219</v>
      </c>
      <c r="E29" s="81">
        <v>58</v>
      </c>
      <c r="F29" s="110">
        <v>3211061</v>
      </c>
      <c r="G29" s="106" t="s">
        <v>435</v>
      </c>
      <c r="H29" s="83"/>
      <c r="I29" s="81"/>
      <c r="J29" s="81"/>
      <c r="K29" s="81"/>
      <c r="L29" s="81"/>
      <c r="M29" s="81"/>
      <c r="N29" s="83"/>
      <c r="O29" s="207">
        <v>2500</v>
      </c>
      <c r="P29" s="260"/>
      <c r="Q29" s="82"/>
    </row>
    <row r="30" spans="1:19">
      <c r="A30" s="728"/>
      <c r="B30" s="651"/>
      <c r="C30" s="52">
        <v>46199</v>
      </c>
      <c r="D30" s="78">
        <v>46219</v>
      </c>
      <c r="E30" s="81">
        <v>58</v>
      </c>
      <c r="F30" s="110">
        <v>3211062</v>
      </c>
      <c r="G30" s="106" t="s">
        <v>436</v>
      </c>
      <c r="H30" s="83"/>
      <c r="I30" s="81"/>
      <c r="J30" s="81"/>
      <c r="K30" s="81"/>
      <c r="L30" s="81"/>
      <c r="M30" s="81"/>
      <c r="N30" s="83"/>
      <c r="O30" s="207">
        <v>2500</v>
      </c>
      <c r="P30" s="260"/>
      <c r="Q30" s="82"/>
    </row>
    <row r="31" spans="1:19">
      <c r="A31" s="728"/>
      <c r="B31" s="651"/>
      <c r="C31" s="52">
        <v>46199</v>
      </c>
      <c r="D31" s="78">
        <v>46219</v>
      </c>
      <c r="E31" s="81">
        <v>58</v>
      </c>
      <c r="F31" s="110">
        <v>3555394</v>
      </c>
      <c r="G31" s="106" t="s">
        <v>437</v>
      </c>
      <c r="H31" s="83"/>
      <c r="I31" s="81"/>
      <c r="J31" s="81"/>
      <c r="K31" s="81"/>
      <c r="L31" s="81"/>
      <c r="M31" s="81"/>
      <c r="N31" s="83"/>
      <c r="O31" s="207">
        <v>2500</v>
      </c>
      <c r="P31" s="260"/>
      <c r="Q31" s="82"/>
    </row>
    <row r="32" spans="1:19">
      <c r="A32" s="728"/>
      <c r="B32" s="651"/>
      <c r="C32" s="52">
        <v>46199</v>
      </c>
      <c r="D32" s="78">
        <v>46219</v>
      </c>
      <c r="E32" s="81">
        <v>58</v>
      </c>
      <c r="F32" s="110">
        <v>3555395</v>
      </c>
      <c r="G32" s="106" t="s">
        <v>438</v>
      </c>
      <c r="H32" s="83"/>
      <c r="I32" s="81"/>
      <c r="J32" s="81"/>
      <c r="K32" s="81"/>
      <c r="L32" s="81"/>
      <c r="M32" s="81"/>
      <c r="N32" s="83"/>
      <c r="O32" s="207">
        <v>2500</v>
      </c>
      <c r="P32" s="260"/>
      <c r="Q32" s="82"/>
    </row>
    <row r="33" spans="1:17">
      <c r="A33" s="728"/>
      <c r="B33" s="651"/>
      <c r="C33" s="52">
        <v>46199</v>
      </c>
      <c r="D33" s="78">
        <v>46219</v>
      </c>
      <c r="E33" s="81">
        <v>58</v>
      </c>
      <c r="F33" s="110">
        <v>3555399</v>
      </c>
      <c r="G33" s="106" t="s">
        <v>439</v>
      </c>
      <c r="H33" s="83"/>
      <c r="I33" s="81"/>
      <c r="J33" s="81"/>
      <c r="K33" s="81"/>
      <c r="L33" s="81"/>
      <c r="M33" s="81"/>
      <c r="N33" s="83"/>
      <c r="O33" s="207">
        <v>2500</v>
      </c>
      <c r="P33" s="260"/>
      <c r="Q33" s="82"/>
    </row>
    <row r="34" spans="1:17">
      <c r="A34" s="728"/>
      <c r="B34" s="651"/>
      <c r="C34" s="52">
        <v>46199</v>
      </c>
      <c r="D34" s="78">
        <v>46219</v>
      </c>
      <c r="E34" s="81">
        <v>58</v>
      </c>
      <c r="F34" s="110">
        <v>1493170</v>
      </c>
      <c r="G34" s="106" t="s">
        <v>440</v>
      </c>
      <c r="H34" s="83"/>
      <c r="I34" s="81"/>
      <c r="J34" s="81"/>
      <c r="K34" s="81"/>
      <c r="L34" s="81"/>
      <c r="M34" s="81"/>
      <c r="N34" s="83"/>
      <c r="O34" s="207">
        <v>2500</v>
      </c>
      <c r="P34" s="260"/>
      <c r="Q34" s="82"/>
    </row>
    <row r="35" spans="1:17">
      <c r="A35" s="728"/>
      <c r="B35" s="651"/>
      <c r="C35" s="52">
        <v>46199</v>
      </c>
      <c r="D35" s="78">
        <v>46219</v>
      </c>
      <c r="E35" s="81">
        <v>58</v>
      </c>
      <c r="F35" s="110">
        <v>3671384</v>
      </c>
      <c r="G35" s="106" t="s">
        <v>441</v>
      </c>
      <c r="H35" s="83"/>
      <c r="I35" s="81"/>
      <c r="J35" s="81"/>
      <c r="K35" s="81"/>
      <c r="L35" s="81"/>
      <c r="M35" s="81"/>
      <c r="N35" s="83"/>
      <c r="O35" s="207">
        <v>2500</v>
      </c>
      <c r="P35" s="260"/>
      <c r="Q35" s="82"/>
    </row>
    <row r="36" spans="1:17">
      <c r="A36" s="728"/>
      <c r="B36" s="650"/>
      <c r="C36" s="220">
        <v>46199</v>
      </c>
      <c r="D36" s="138">
        <v>46219</v>
      </c>
      <c r="E36" s="94">
        <v>58</v>
      </c>
      <c r="F36" s="139">
        <v>1493171</v>
      </c>
      <c r="G36" s="113" t="s">
        <v>442</v>
      </c>
      <c r="H36" s="83"/>
      <c r="I36" s="94"/>
      <c r="J36" s="94"/>
      <c r="K36" s="94"/>
      <c r="L36" s="94"/>
      <c r="M36" s="94"/>
      <c r="N36" s="95"/>
      <c r="O36" s="221">
        <v>2500</v>
      </c>
      <c r="P36" s="261"/>
      <c r="Q36" s="119"/>
    </row>
    <row r="37" spans="1:17" ht="15">
      <c r="A37" s="547"/>
      <c r="B37" s="367"/>
      <c r="C37" s="52">
        <v>46199</v>
      </c>
      <c r="D37" s="78">
        <v>46219</v>
      </c>
      <c r="E37" s="97">
        <v>58</v>
      </c>
      <c r="F37" s="551">
        <v>1096062</v>
      </c>
      <c r="G37" s="551" t="s">
        <v>443</v>
      </c>
      <c r="H37" s="444"/>
      <c r="I37" s="94"/>
      <c r="J37" s="94"/>
      <c r="K37" s="94"/>
      <c r="L37" s="94"/>
      <c r="M37" s="94"/>
      <c r="N37" s="95"/>
      <c r="O37" s="207">
        <v>2500</v>
      </c>
      <c r="P37" s="261"/>
      <c r="Q37" s="553" t="s">
        <v>444</v>
      </c>
    </row>
    <row r="38" spans="1:17" ht="15">
      <c r="A38" s="547"/>
      <c r="B38" s="367"/>
      <c r="C38" s="220">
        <v>46199</v>
      </c>
      <c r="D38" s="138">
        <v>46219</v>
      </c>
      <c r="E38" s="98">
        <v>58</v>
      </c>
      <c r="F38" s="551">
        <v>1096063</v>
      </c>
      <c r="G38" s="551" t="s">
        <v>445</v>
      </c>
      <c r="H38" s="444"/>
      <c r="I38" s="94"/>
      <c r="J38" s="94"/>
      <c r="K38" s="94"/>
      <c r="L38" s="94"/>
      <c r="M38" s="94"/>
      <c r="N38" s="95"/>
      <c r="O38" s="221">
        <v>2500</v>
      </c>
      <c r="P38" s="261"/>
      <c r="Q38" s="553" t="s">
        <v>444</v>
      </c>
    </row>
    <row r="39" spans="1:17" ht="15">
      <c r="A39" s="547"/>
      <c r="B39" s="367"/>
      <c r="C39" s="52">
        <v>46199</v>
      </c>
      <c r="D39" s="78">
        <v>46219</v>
      </c>
      <c r="E39" s="97">
        <v>58</v>
      </c>
      <c r="F39" s="551">
        <v>1096064</v>
      </c>
      <c r="G39" s="551" t="s">
        <v>446</v>
      </c>
      <c r="H39" s="444"/>
      <c r="I39" s="94"/>
      <c r="J39" s="94"/>
      <c r="K39" s="94"/>
      <c r="L39" s="94"/>
      <c r="M39" s="94"/>
      <c r="N39" s="95"/>
      <c r="O39" s="207">
        <v>2500</v>
      </c>
      <c r="P39" s="261"/>
      <c r="Q39" s="553" t="s">
        <v>444</v>
      </c>
    </row>
    <row r="40" spans="1:17">
      <c r="A40" s="753" t="s">
        <v>447</v>
      </c>
      <c r="B40" s="130"/>
      <c r="C40" s="160"/>
      <c r="D40" s="160"/>
      <c r="E40" s="161"/>
      <c r="F40" s="549"/>
      <c r="G40" s="550" t="s">
        <v>448</v>
      </c>
      <c r="H40" s="161"/>
      <c r="I40" s="161"/>
      <c r="J40" s="161"/>
      <c r="K40" s="161"/>
      <c r="L40" s="161"/>
      <c r="M40" s="161"/>
      <c r="N40" s="163"/>
      <c r="O40" s="164"/>
      <c r="P40" s="262"/>
      <c r="Q40" s="552"/>
    </row>
    <row r="41" spans="1:17" ht="15.75" customHeight="1">
      <c r="A41" s="753"/>
      <c r="B41" s="649" t="s">
        <v>71</v>
      </c>
      <c r="C41" s="220">
        <v>46199</v>
      </c>
      <c r="D41" s="138">
        <v>46219</v>
      </c>
      <c r="E41" s="94">
        <v>58</v>
      </c>
      <c r="F41" s="110">
        <v>862400</v>
      </c>
      <c r="G41" s="106" t="s">
        <v>449</v>
      </c>
      <c r="H41" s="81"/>
      <c r="I41" s="81"/>
      <c r="J41" s="81"/>
      <c r="K41" s="81"/>
      <c r="L41" s="81"/>
      <c r="M41" s="81"/>
      <c r="N41" s="83"/>
      <c r="O41" s="222">
        <v>20900</v>
      </c>
      <c r="P41" s="232"/>
      <c r="Q41" s="755" t="s">
        <v>450</v>
      </c>
    </row>
    <row r="42" spans="1:17" ht="15.75" customHeight="1">
      <c r="A42" s="753"/>
      <c r="B42" s="651"/>
      <c r="C42" s="220">
        <v>46199</v>
      </c>
      <c r="D42" s="138">
        <v>46219</v>
      </c>
      <c r="E42" s="94">
        <v>58</v>
      </c>
      <c r="F42" s="110">
        <v>327726</v>
      </c>
      <c r="G42" s="106" t="s">
        <v>451</v>
      </c>
      <c r="H42" s="81"/>
      <c r="I42" s="81"/>
      <c r="J42" s="81"/>
      <c r="K42" s="81"/>
      <c r="L42" s="81"/>
      <c r="M42" s="81"/>
      <c r="N42" s="83"/>
      <c r="O42" s="222">
        <v>20900</v>
      </c>
      <c r="P42" s="232"/>
      <c r="Q42" s="755"/>
    </row>
    <row r="43" spans="1:17" ht="15.75" customHeight="1">
      <c r="A43" s="753"/>
      <c r="B43" s="651"/>
      <c r="C43" s="220">
        <v>46199</v>
      </c>
      <c r="D43" s="138">
        <v>46219</v>
      </c>
      <c r="E43" s="94">
        <v>58</v>
      </c>
      <c r="F43" s="110">
        <v>342560</v>
      </c>
      <c r="G43" s="106" t="s">
        <v>452</v>
      </c>
      <c r="H43" s="81"/>
      <c r="I43" s="81"/>
      <c r="J43" s="81"/>
      <c r="K43" s="81"/>
      <c r="L43" s="81"/>
      <c r="M43" s="81"/>
      <c r="N43" s="83"/>
      <c r="O43" s="222">
        <v>24900</v>
      </c>
      <c r="P43" s="232"/>
      <c r="Q43" s="755"/>
    </row>
    <row r="44" spans="1:17" ht="15.75" customHeight="1">
      <c r="A44" s="753"/>
      <c r="B44" s="651"/>
      <c r="C44" s="220">
        <v>46199</v>
      </c>
      <c r="D44" s="138">
        <v>46219</v>
      </c>
      <c r="E44" s="94">
        <v>58</v>
      </c>
      <c r="F44" s="110">
        <v>213776</v>
      </c>
      <c r="G44" s="106" t="s">
        <v>453</v>
      </c>
      <c r="H44" s="81"/>
      <c r="I44" s="81"/>
      <c r="J44" s="81"/>
      <c r="K44" s="81"/>
      <c r="L44" s="81"/>
      <c r="M44" s="81"/>
      <c r="N44" s="83"/>
      <c r="O44" s="222">
        <v>20900</v>
      </c>
      <c r="P44" s="232"/>
      <c r="Q44" s="755"/>
    </row>
    <row r="45" spans="1:17" ht="15">
      <c r="A45" s="753"/>
      <c r="B45" s="651"/>
      <c r="C45" s="220">
        <v>46199</v>
      </c>
      <c r="D45" s="138">
        <v>46219</v>
      </c>
      <c r="E45" s="94">
        <v>58</v>
      </c>
      <c r="F45" s="110">
        <v>756417</v>
      </c>
      <c r="G45" s="106" t="s">
        <v>454</v>
      </c>
      <c r="H45" s="81"/>
      <c r="I45" s="81"/>
      <c r="J45" s="81"/>
      <c r="K45" s="81"/>
      <c r="L45" s="81"/>
      <c r="M45" s="81"/>
      <c r="N45" s="83"/>
      <c r="O45" s="222">
        <v>20900</v>
      </c>
      <c r="P45" s="232"/>
      <c r="Q45" s="755" t="s">
        <v>455</v>
      </c>
    </row>
    <row r="46" spans="1:17" ht="15.75" customHeight="1">
      <c r="A46" s="753"/>
      <c r="B46" s="651"/>
      <c r="C46" s="220">
        <v>46199</v>
      </c>
      <c r="D46" s="138">
        <v>46219</v>
      </c>
      <c r="E46" s="94">
        <v>58</v>
      </c>
      <c r="F46" s="110">
        <v>701367</v>
      </c>
      <c r="G46" s="106" t="s">
        <v>456</v>
      </c>
      <c r="H46" s="81"/>
      <c r="I46" s="81"/>
      <c r="J46" s="81"/>
      <c r="K46" s="81"/>
      <c r="L46" s="81"/>
      <c r="M46" s="81"/>
      <c r="N46" s="83"/>
      <c r="O46" s="222">
        <v>24900</v>
      </c>
      <c r="P46" s="232"/>
      <c r="Q46" s="755"/>
    </row>
    <row r="47" spans="1:17" ht="15.75" customHeight="1">
      <c r="A47" s="753"/>
      <c r="B47" s="651"/>
      <c r="C47" s="220">
        <v>46199</v>
      </c>
      <c r="D47" s="138">
        <v>46219</v>
      </c>
      <c r="E47" s="94">
        <v>58</v>
      </c>
      <c r="F47" s="110">
        <v>489460</v>
      </c>
      <c r="G47" s="106" t="s">
        <v>457</v>
      </c>
      <c r="H47" s="81"/>
      <c r="I47" s="81"/>
      <c r="J47" s="81"/>
      <c r="K47" s="81"/>
      <c r="L47" s="81"/>
      <c r="M47" s="81"/>
      <c r="N47" s="83"/>
      <c r="O47" s="222">
        <v>20900</v>
      </c>
      <c r="P47" s="232"/>
      <c r="Q47" s="755"/>
    </row>
    <row r="48" spans="1:17" ht="15.75" customHeight="1">
      <c r="A48" s="753"/>
      <c r="B48" s="650"/>
      <c r="C48" s="220">
        <v>46199</v>
      </c>
      <c r="D48" s="138">
        <v>46219</v>
      </c>
      <c r="E48" s="94">
        <v>58</v>
      </c>
      <c r="F48" s="110">
        <v>98126</v>
      </c>
      <c r="G48" s="106" t="s">
        <v>458</v>
      </c>
      <c r="H48" s="81"/>
      <c r="I48" s="81"/>
      <c r="J48" s="81"/>
      <c r="K48" s="81"/>
      <c r="L48" s="81"/>
      <c r="M48" s="81"/>
      <c r="N48" s="83"/>
      <c r="O48" s="226">
        <v>24900</v>
      </c>
      <c r="P48" s="232"/>
      <c r="Q48" s="755"/>
    </row>
    <row r="49" spans="1:17">
      <c r="A49" s="753"/>
      <c r="B49" s="329"/>
      <c r="C49" s="160"/>
      <c r="D49" s="160"/>
      <c r="E49" s="161"/>
      <c r="F49" s="227"/>
      <c r="G49" s="182" t="s">
        <v>459</v>
      </c>
      <c r="H49" s="171"/>
      <c r="I49" s="171"/>
      <c r="J49" s="171"/>
      <c r="K49" s="171"/>
      <c r="L49" s="171"/>
      <c r="M49" s="171"/>
      <c r="N49" s="225"/>
      <c r="O49" s="164"/>
      <c r="P49" s="264"/>
      <c r="Q49" s="144"/>
    </row>
    <row r="50" spans="1:17" ht="15.75" customHeight="1">
      <c r="A50" s="753"/>
      <c r="B50" s="649" t="s">
        <v>71</v>
      </c>
      <c r="C50" s="52">
        <v>46199</v>
      </c>
      <c r="D50" s="78">
        <v>46219</v>
      </c>
      <c r="E50" s="81">
        <v>58</v>
      </c>
      <c r="F50" s="228">
        <v>1786176</v>
      </c>
      <c r="G50" s="224" t="s">
        <v>460</v>
      </c>
      <c r="H50" s="81"/>
      <c r="I50" s="81"/>
      <c r="J50" s="81"/>
      <c r="K50" s="81"/>
      <c r="L50" s="81"/>
      <c r="M50" s="81"/>
      <c r="N50" s="170"/>
      <c r="O50" s="222">
        <v>24900</v>
      </c>
      <c r="P50" s="265"/>
      <c r="Q50" s="756" t="s">
        <v>450</v>
      </c>
    </row>
    <row r="51" spans="1:17" ht="15.75" customHeight="1">
      <c r="A51" s="753"/>
      <c r="B51" s="651"/>
      <c r="C51" s="52">
        <v>46199</v>
      </c>
      <c r="D51" s="78">
        <v>46219</v>
      </c>
      <c r="E51" s="81">
        <v>58</v>
      </c>
      <c r="F51" s="228">
        <v>1418635</v>
      </c>
      <c r="G51" s="224" t="s">
        <v>461</v>
      </c>
      <c r="H51" s="81"/>
      <c r="I51" s="81"/>
      <c r="J51" s="81"/>
      <c r="K51" s="81"/>
      <c r="L51" s="81"/>
      <c r="M51" s="81"/>
      <c r="N51" s="170"/>
      <c r="O51" s="222">
        <v>20900</v>
      </c>
      <c r="P51" s="265"/>
      <c r="Q51" s="756"/>
    </row>
    <row r="52" spans="1:17" ht="15.75" customHeight="1">
      <c r="A52" s="753"/>
      <c r="B52" s="651"/>
      <c r="C52" s="52">
        <v>46199</v>
      </c>
      <c r="D52" s="78">
        <v>46219</v>
      </c>
      <c r="E52" s="81">
        <v>58</v>
      </c>
      <c r="F52" s="228">
        <v>1561896</v>
      </c>
      <c r="G52" s="224" t="s">
        <v>462</v>
      </c>
      <c r="H52" s="81"/>
      <c r="I52" s="81"/>
      <c r="J52" s="81"/>
      <c r="K52" s="81"/>
      <c r="L52" s="81"/>
      <c r="M52" s="81"/>
      <c r="N52" s="170"/>
      <c r="O52" s="222">
        <v>24900</v>
      </c>
      <c r="P52" s="265"/>
      <c r="Q52" s="756"/>
    </row>
    <row r="53" spans="1:17" ht="15">
      <c r="A53" s="753"/>
      <c r="B53" s="651"/>
      <c r="C53" s="52">
        <v>46199</v>
      </c>
      <c r="D53" s="78">
        <v>46219</v>
      </c>
      <c r="E53" s="81">
        <v>58</v>
      </c>
      <c r="F53" s="228">
        <v>1561895</v>
      </c>
      <c r="G53" s="224" t="s">
        <v>463</v>
      </c>
      <c r="H53" s="81"/>
      <c r="I53" s="81"/>
      <c r="J53" s="81"/>
      <c r="K53" s="81"/>
      <c r="L53" s="81"/>
      <c r="M53" s="81"/>
      <c r="N53" s="170"/>
      <c r="O53" s="222">
        <v>20900</v>
      </c>
      <c r="P53" s="265"/>
      <c r="Q53" s="756" t="s">
        <v>455</v>
      </c>
    </row>
    <row r="54" spans="1:17" ht="15.75" customHeight="1">
      <c r="A54" s="753"/>
      <c r="B54" s="651"/>
      <c r="C54" s="52">
        <v>46199</v>
      </c>
      <c r="D54" s="78">
        <v>46219</v>
      </c>
      <c r="E54" s="81">
        <v>58</v>
      </c>
      <c r="F54" s="228">
        <v>1786177</v>
      </c>
      <c r="G54" s="224" t="s">
        <v>464</v>
      </c>
      <c r="H54" s="81"/>
      <c r="I54" s="81"/>
      <c r="J54" s="81"/>
      <c r="K54" s="81"/>
      <c r="L54" s="81"/>
      <c r="M54" s="81"/>
      <c r="N54" s="170"/>
      <c r="O54" s="222">
        <v>24900</v>
      </c>
      <c r="P54" s="265"/>
      <c r="Q54" s="756"/>
    </row>
    <row r="55" spans="1:17" ht="15.75" customHeight="1">
      <c r="A55" s="753"/>
      <c r="B55" s="650"/>
      <c r="C55" s="220">
        <v>46199</v>
      </c>
      <c r="D55" s="138">
        <v>46219</v>
      </c>
      <c r="E55" s="94">
        <v>58</v>
      </c>
      <c r="F55" s="229">
        <v>1418636</v>
      </c>
      <c r="G55" s="230" t="s">
        <v>465</v>
      </c>
      <c r="H55" s="94"/>
      <c r="I55" s="94"/>
      <c r="J55" s="94"/>
      <c r="K55" s="94"/>
      <c r="L55" s="94"/>
      <c r="M55" s="94"/>
      <c r="N55" s="231"/>
      <c r="O55" s="226">
        <v>24900</v>
      </c>
      <c r="P55" s="266"/>
      <c r="Q55" s="757"/>
    </row>
    <row r="56" spans="1:17">
      <c r="A56" s="753"/>
      <c r="B56" s="130"/>
      <c r="C56" s="160"/>
      <c r="D56" s="160"/>
      <c r="E56" s="161"/>
      <c r="F56" s="162"/>
      <c r="G56" s="167" t="s">
        <v>466</v>
      </c>
      <c r="H56" s="161"/>
      <c r="I56" s="161"/>
      <c r="J56" s="161"/>
      <c r="K56" s="161"/>
      <c r="L56" s="161"/>
      <c r="M56" s="161"/>
      <c r="N56" s="163"/>
      <c r="O56" s="164"/>
      <c r="P56" s="262"/>
      <c r="Q56" s="134"/>
    </row>
    <row r="57" spans="1:17">
      <c r="A57" s="753"/>
      <c r="B57" s="649" t="s">
        <v>71</v>
      </c>
      <c r="C57" s="52">
        <v>46199</v>
      </c>
      <c r="D57" s="78">
        <v>46219</v>
      </c>
      <c r="E57" s="81">
        <v>58</v>
      </c>
      <c r="F57" s="110">
        <v>627242</v>
      </c>
      <c r="G57" s="175" t="s">
        <v>467</v>
      </c>
      <c r="H57" s="81"/>
      <c r="I57" s="81"/>
      <c r="J57" s="81"/>
      <c r="K57" s="81"/>
      <c r="L57" s="81"/>
      <c r="M57" s="81"/>
      <c r="N57" s="83"/>
      <c r="O57" s="708">
        <v>0.3</v>
      </c>
      <c r="P57" s="232"/>
      <c r="Q57" s="82"/>
    </row>
    <row r="58" spans="1:17">
      <c r="A58" s="753"/>
      <c r="B58" s="651"/>
      <c r="C58" s="52">
        <v>46199</v>
      </c>
      <c r="D58" s="78">
        <v>46219</v>
      </c>
      <c r="E58" s="81">
        <v>58</v>
      </c>
      <c r="F58" s="110">
        <v>646341</v>
      </c>
      <c r="G58" s="175" t="s">
        <v>468</v>
      </c>
      <c r="H58" s="81"/>
      <c r="I58" s="81"/>
      <c r="J58" s="81"/>
      <c r="K58" s="81"/>
      <c r="L58" s="81"/>
      <c r="M58" s="81"/>
      <c r="N58" s="83"/>
      <c r="O58" s="709"/>
      <c r="P58" s="232"/>
      <c r="Q58" s="82"/>
    </row>
    <row r="59" spans="1:17">
      <c r="A59" s="753"/>
      <c r="B59" s="651"/>
      <c r="C59" s="52">
        <v>46199</v>
      </c>
      <c r="D59" s="78">
        <v>46219</v>
      </c>
      <c r="E59" s="81">
        <v>58</v>
      </c>
      <c r="F59" s="110">
        <v>627023</v>
      </c>
      <c r="G59" s="175" t="s">
        <v>469</v>
      </c>
      <c r="H59" s="81"/>
      <c r="I59" s="81"/>
      <c r="J59" s="81"/>
      <c r="K59" s="81"/>
      <c r="L59" s="81"/>
      <c r="M59" s="81"/>
      <c r="N59" s="83"/>
      <c r="O59" s="709"/>
      <c r="P59" s="232"/>
      <c r="Q59" s="82"/>
    </row>
    <row r="60" spans="1:17">
      <c r="A60" s="753"/>
      <c r="B60" s="651"/>
      <c r="C60" s="52">
        <v>46199</v>
      </c>
      <c r="D60" s="78">
        <v>46219</v>
      </c>
      <c r="E60" s="81">
        <v>58</v>
      </c>
      <c r="F60" s="110">
        <v>989561</v>
      </c>
      <c r="G60" s="175" t="s">
        <v>470</v>
      </c>
      <c r="H60" s="81"/>
      <c r="I60" s="81"/>
      <c r="J60" s="81"/>
      <c r="K60" s="81"/>
      <c r="L60" s="81"/>
      <c r="M60" s="81"/>
      <c r="N60" s="83"/>
      <c r="O60" s="709"/>
      <c r="P60" s="232"/>
      <c r="Q60" s="82"/>
    </row>
    <row r="61" spans="1:17">
      <c r="A61" s="753"/>
      <c r="B61" s="651"/>
      <c r="C61" s="220">
        <v>46199</v>
      </c>
      <c r="D61" s="138">
        <v>46219</v>
      </c>
      <c r="E61" s="94">
        <v>58</v>
      </c>
      <c r="F61" s="139">
        <v>627420</v>
      </c>
      <c r="G61" s="206" t="s">
        <v>471</v>
      </c>
      <c r="H61" s="94"/>
      <c r="I61" s="94"/>
      <c r="J61" s="94"/>
      <c r="K61" s="94"/>
      <c r="L61" s="94"/>
      <c r="M61" s="94"/>
      <c r="N61" s="95"/>
      <c r="O61" s="709"/>
      <c r="P61" s="183"/>
      <c r="Q61" s="119"/>
    </row>
    <row r="62" spans="1:17">
      <c r="A62" s="753"/>
      <c r="B62" s="651"/>
      <c r="C62" s="52">
        <v>46199</v>
      </c>
      <c r="D62" s="78">
        <v>46219</v>
      </c>
      <c r="E62" s="81">
        <v>58</v>
      </c>
      <c r="F62" s="110">
        <v>1629564</v>
      </c>
      <c r="G62" s="175" t="s">
        <v>472</v>
      </c>
      <c r="H62" s="81"/>
      <c r="I62" s="81"/>
      <c r="J62" s="81"/>
      <c r="K62" s="81"/>
      <c r="L62" s="81"/>
      <c r="M62" s="81"/>
      <c r="N62" s="170"/>
      <c r="O62" s="754">
        <v>0.3</v>
      </c>
      <c r="P62" s="265"/>
      <c r="Q62" s="82"/>
    </row>
    <row r="63" spans="1:17">
      <c r="A63" s="753"/>
      <c r="B63" s="651"/>
      <c r="C63" s="52">
        <v>46199</v>
      </c>
      <c r="D63" s="78">
        <v>46219</v>
      </c>
      <c r="E63" s="81">
        <v>58</v>
      </c>
      <c r="F63" s="110">
        <v>1629559</v>
      </c>
      <c r="G63" s="175" t="s">
        <v>473</v>
      </c>
      <c r="H63" s="81"/>
      <c r="I63" s="81"/>
      <c r="J63" s="81"/>
      <c r="K63" s="81"/>
      <c r="L63" s="81"/>
      <c r="M63" s="81"/>
      <c r="N63" s="170"/>
      <c r="O63" s="754"/>
      <c r="P63" s="265"/>
      <c r="Q63" s="82"/>
    </row>
    <row r="64" spans="1:17">
      <c r="A64" s="753"/>
      <c r="B64" s="651"/>
      <c r="C64" s="52">
        <v>46199</v>
      </c>
      <c r="D64" s="78">
        <v>46219</v>
      </c>
      <c r="E64" s="81">
        <v>58</v>
      </c>
      <c r="F64" s="110">
        <v>1842725</v>
      </c>
      <c r="G64" s="175" t="s">
        <v>474</v>
      </c>
      <c r="H64" s="81"/>
      <c r="I64" s="81"/>
      <c r="J64" s="81"/>
      <c r="K64" s="81"/>
      <c r="L64" s="81"/>
      <c r="M64" s="81"/>
      <c r="N64" s="170"/>
      <c r="O64" s="754"/>
      <c r="P64" s="265"/>
      <c r="Q64" s="82"/>
    </row>
    <row r="65" spans="1:17">
      <c r="A65" s="753"/>
      <c r="B65" s="651"/>
      <c r="C65" s="52">
        <v>46199</v>
      </c>
      <c r="D65" s="78">
        <v>46219</v>
      </c>
      <c r="E65" s="81">
        <v>58</v>
      </c>
      <c r="F65" s="110">
        <v>1629546</v>
      </c>
      <c r="G65" s="175" t="s">
        <v>475</v>
      </c>
      <c r="H65" s="81"/>
      <c r="I65" s="81"/>
      <c r="J65" s="81"/>
      <c r="K65" s="81"/>
      <c r="L65" s="81"/>
      <c r="M65" s="81"/>
      <c r="N65" s="170"/>
      <c r="O65" s="754"/>
      <c r="P65" s="265"/>
      <c r="Q65" s="82"/>
    </row>
    <row r="66" spans="1:17">
      <c r="A66" s="753"/>
      <c r="B66" s="650"/>
      <c r="C66" s="220">
        <v>46199</v>
      </c>
      <c r="D66" s="138">
        <v>46219</v>
      </c>
      <c r="E66" s="94">
        <v>58</v>
      </c>
      <c r="F66" s="139">
        <v>1629555</v>
      </c>
      <c r="G66" s="206" t="s">
        <v>476</v>
      </c>
      <c r="H66" s="94"/>
      <c r="I66" s="94"/>
      <c r="J66" s="94"/>
      <c r="K66" s="94"/>
      <c r="L66" s="94"/>
      <c r="M66" s="94"/>
      <c r="N66" s="231"/>
      <c r="O66" s="708"/>
      <c r="P66" s="266"/>
      <c r="Q66" s="119"/>
    </row>
    <row r="67" spans="1:17">
      <c r="A67" s="753"/>
      <c r="B67" s="133"/>
      <c r="C67" s="210"/>
      <c r="D67" s="210"/>
      <c r="E67" s="171"/>
      <c r="F67" s="223"/>
      <c r="G67" s="172"/>
      <c r="H67" s="171"/>
      <c r="I67" s="171"/>
      <c r="J67" s="171"/>
      <c r="K67" s="171"/>
      <c r="L67" s="171"/>
      <c r="M67" s="171"/>
      <c r="N67" s="225"/>
      <c r="O67" s="164"/>
      <c r="P67" s="264"/>
      <c r="Q67" s="144"/>
    </row>
    <row r="68" spans="1:17">
      <c r="A68" s="753"/>
      <c r="B68" s="328" t="s">
        <v>71</v>
      </c>
      <c r="C68" s="220">
        <v>46199</v>
      </c>
      <c r="D68" s="138">
        <v>46219</v>
      </c>
      <c r="E68" s="94">
        <v>58</v>
      </c>
      <c r="F68" s="139">
        <v>1707592</v>
      </c>
      <c r="G68" s="206" t="s">
        <v>477</v>
      </c>
      <c r="H68" s="94"/>
      <c r="I68" s="94"/>
      <c r="J68" s="94"/>
      <c r="K68" s="94"/>
      <c r="L68" s="94"/>
      <c r="M68" s="94"/>
      <c r="N68" s="95"/>
      <c r="O68" s="233">
        <v>18900</v>
      </c>
      <c r="P68" s="183"/>
      <c r="Q68" s="119"/>
    </row>
    <row r="69" spans="1:17" ht="15.75" customHeight="1">
      <c r="A69" s="728" t="s">
        <v>478</v>
      </c>
      <c r="B69" s="130"/>
      <c r="C69" s="160"/>
      <c r="D69" s="160"/>
      <c r="E69" s="161"/>
      <c r="F69" s="162"/>
      <c r="G69" s="167" t="s">
        <v>479</v>
      </c>
      <c r="H69" s="161"/>
      <c r="I69" s="161"/>
      <c r="J69" s="161"/>
      <c r="K69" s="161"/>
      <c r="L69" s="161"/>
      <c r="M69" s="161"/>
      <c r="N69" s="163"/>
      <c r="O69" s="173"/>
      <c r="P69" s="262"/>
      <c r="Q69" s="134"/>
    </row>
    <row r="70" spans="1:17">
      <c r="A70" s="728"/>
      <c r="B70" s="649" t="s">
        <v>71</v>
      </c>
      <c r="C70" s="52">
        <v>46199</v>
      </c>
      <c r="D70" s="78">
        <v>46219</v>
      </c>
      <c r="E70" s="81">
        <v>58</v>
      </c>
      <c r="F70" s="110">
        <v>3085892</v>
      </c>
      <c r="G70" s="175" t="s">
        <v>480</v>
      </c>
      <c r="H70" s="81"/>
      <c r="I70" s="81"/>
      <c r="J70" s="81"/>
      <c r="K70" s="81"/>
      <c r="L70" s="81"/>
      <c r="M70" s="81"/>
      <c r="N70" s="170"/>
      <c r="O70" s="234">
        <v>15900</v>
      </c>
      <c r="P70" s="265"/>
      <c r="Q70" s="82"/>
    </row>
    <row r="71" spans="1:17">
      <c r="A71" s="728"/>
      <c r="B71" s="651"/>
      <c r="C71" s="52">
        <v>46199</v>
      </c>
      <c r="D71" s="78">
        <v>46219</v>
      </c>
      <c r="E71" s="81">
        <v>58</v>
      </c>
      <c r="F71" s="110">
        <v>1310423</v>
      </c>
      <c r="G71" s="175" t="s">
        <v>481</v>
      </c>
      <c r="H71" s="81"/>
      <c r="I71" s="81"/>
      <c r="J71" s="81"/>
      <c r="K71" s="81"/>
      <c r="L71" s="81"/>
      <c r="M71" s="81"/>
      <c r="N71" s="170"/>
      <c r="O71" s="234">
        <v>15900</v>
      </c>
      <c r="P71" s="265"/>
      <c r="Q71" s="82"/>
    </row>
    <row r="72" spans="1:17">
      <c r="A72" s="728"/>
      <c r="B72" s="650"/>
      <c r="C72" s="52">
        <v>46199</v>
      </c>
      <c r="D72" s="78">
        <v>46219</v>
      </c>
      <c r="E72" s="81">
        <v>58</v>
      </c>
      <c r="F72" s="110">
        <v>490782</v>
      </c>
      <c r="G72" s="175" t="s">
        <v>482</v>
      </c>
      <c r="H72" s="81"/>
      <c r="I72" s="81"/>
      <c r="J72" s="81"/>
      <c r="K72" s="81"/>
      <c r="L72" s="81"/>
      <c r="M72" s="81"/>
      <c r="N72" s="170"/>
      <c r="O72" s="234">
        <v>15900</v>
      </c>
      <c r="P72" s="265"/>
      <c r="Q72" s="82"/>
    </row>
    <row r="73" spans="1:17">
      <c r="A73" s="728"/>
      <c r="B73" s="150"/>
      <c r="C73" s="151"/>
      <c r="D73" s="151"/>
      <c r="E73" s="152"/>
      <c r="F73" s="153"/>
      <c r="G73" s="154"/>
      <c r="H73" s="152"/>
      <c r="I73" s="152"/>
      <c r="J73" s="152"/>
      <c r="K73" s="152"/>
      <c r="L73" s="152"/>
      <c r="M73" s="152"/>
      <c r="N73" s="154"/>
      <c r="O73" s="532"/>
      <c r="P73" s="267"/>
      <c r="Q73" s="131"/>
    </row>
    <row r="74" spans="1:17">
      <c r="A74" s="728"/>
      <c r="B74" s="649" t="s">
        <v>71</v>
      </c>
      <c r="C74" s="52">
        <v>46199</v>
      </c>
      <c r="D74" s="78">
        <v>46219</v>
      </c>
      <c r="E74" s="81">
        <v>58</v>
      </c>
      <c r="F74" s="110" t="s">
        <v>483</v>
      </c>
      <c r="G74" s="175" t="s">
        <v>484</v>
      </c>
      <c r="H74" s="81"/>
      <c r="I74" s="81"/>
      <c r="J74" s="81"/>
      <c r="K74" s="81"/>
      <c r="L74" s="81"/>
      <c r="M74" s="81"/>
      <c r="N74" s="83"/>
      <c r="O74" s="26">
        <v>0.3</v>
      </c>
      <c r="P74" s="232"/>
      <c r="Q74" s="82"/>
    </row>
    <row r="75" spans="1:17">
      <c r="A75" s="728"/>
      <c r="B75" s="650"/>
      <c r="C75" s="52">
        <v>46199</v>
      </c>
      <c r="D75" s="78">
        <v>46219</v>
      </c>
      <c r="E75" s="81">
        <v>58</v>
      </c>
      <c r="F75" s="110">
        <v>532929</v>
      </c>
      <c r="G75" s="175" t="s">
        <v>485</v>
      </c>
      <c r="H75" s="81"/>
      <c r="I75" s="81"/>
      <c r="J75" s="81"/>
      <c r="K75" s="81"/>
      <c r="L75" s="81"/>
      <c r="M75" s="81"/>
      <c r="N75" s="83"/>
      <c r="O75" s="232" t="s">
        <v>100</v>
      </c>
      <c r="P75" s="232"/>
      <c r="Q75" s="82"/>
    </row>
    <row r="76" spans="1:17">
      <c r="A76" s="728"/>
      <c r="B76" s="150"/>
      <c r="C76" s="151"/>
      <c r="D76" s="151"/>
      <c r="E76" s="152"/>
      <c r="F76" s="153"/>
      <c r="G76" s="154"/>
      <c r="H76" s="152"/>
      <c r="I76" s="152"/>
      <c r="J76" s="152"/>
      <c r="K76" s="152"/>
      <c r="L76" s="152"/>
      <c r="M76" s="152"/>
      <c r="N76" s="154"/>
      <c r="O76" s="155"/>
      <c r="P76" s="267"/>
      <c r="Q76" s="131"/>
    </row>
    <row r="77" spans="1:17">
      <c r="A77" s="728"/>
      <c r="B77" s="649" t="s">
        <v>71</v>
      </c>
      <c r="C77" s="52">
        <v>46199</v>
      </c>
      <c r="D77" s="78">
        <v>46219</v>
      </c>
      <c r="E77" s="81">
        <v>58</v>
      </c>
      <c r="F77" s="165">
        <v>3134259</v>
      </c>
      <c r="G77" s="165" t="s">
        <v>486</v>
      </c>
      <c r="H77" s="81"/>
      <c r="I77" s="81"/>
      <c r="J77" s="81"/>
      <c r="K77" s="81"/>
      <c r="L77" s="81"/>
      <c r="M77" s="81"/>
      <c r="N77" s="83"/>
      <c r="O77" s="234">
        <v>29900</v>
      </c>
      <c r="P77" s="232"/>
      <c r="Q77" s="82"/>
    </row>
    <row r="78" spans="1:17">
      <c r="A78" s="728"/>
      <c r="B78" s="650"/>
      <c r="C78" s="52">
        <v>46199</v>
      </c>
      <c r="D78" s="78">
        <v>46219</v>
      </c>
      <c r="E78" s="81">
        <v>58</v>
      </c>
      <c r="F78" s="165">
        <v>3134262</v>
      </c>
      <c r="G78" s="165" t="s">
        <v>487</v>
      </c>
      <c r="H78" s="81"/>
      <c r="I78" s="81"/>
      <c r="J78" s="81"/>
      <c r="K78" s="81"/>
      <c r="L78" s="81"/>
      <c r="M78" s="81"/>
      <c r="N78" s="83"/>
      <c r="O78" s="234">
        <v>29900</v>
      </c>
      <c r="P78" s="232"/>
      <c r="Q78" s="82"/>
    </row>
    <row r="79" spans="1:17">
      <c r="A79" s="728"/>
      <c r="B79" s="235"/>
      <c r="C79" s="236"/>
      <c r="D79" s="236"/>
      <c r="E79" s="237"/>
      <c r="F79" s="238"/>
      <c r="G79" s="242" t="s">
        <v>488</v>
      </c>
      <c r="H79" s="237"/>
      <c r="I79" s="237"/>
      <c r="J79" s="237"/>
      <c r="K79" s="237"/>
      <c r="L79" s="237"/>
      <c r="M79" s="237"/>
      <c r="N79" s="239"/>
      <c r="O79" s="240"/>
      <c r="P79" s="268"/>
      <c r="Q79" s="241"/>
    </row>
    <row r="80" spans="1:17">
      <c r="A80" s="728"/>
      <c r="B80" s="649" t="s">
        <v>71</v>
      </c>
      <c r="C80" s="52">
        <v>46199</v>
      </c>
      <c r="D80" s="78">
        <v>46219</v>
      </c>
      <c r="E80" s="81">
        <v>58</v>
      </c>
      <c r="F80" s="165">
        <v>486926</v>
      </c>
      <c r="G80" s="165" t="s">
        <v>489</v>
      </c>
      <c r="H80" s="81"/>
      <c r="I80" s="81"/>
      <c r="J80" s="81"/>
      <c r="K80" s="81"/>
      <c r="L80" s="81"/>
      <c r="M80" s="81"/>
      <c r="N80" s="83"/>
      <c r="O80" s="704" t="s">
        <v>490</v>
      </c>
      <c r="P80" s="232"/>
      <c r="Q80" s="82"/>
    </row>
    <row r="81" spans="1:17">
      <c r="A81" s="728"/>
      <c r="B81" s="651"/>
      <c r="C81" s="52">
        <v>46199</v>
      </c>
      <c r="D81" s="78">
        <v>46219</v>
      </c>
      <c r="E81" s="81">
        <v>58</v>
      </c>
      <c r="F81" s="165">
        <v>1197174</v>
      </c>
      <c r="G81" s="165" t="s">
        <v>491</v>
      </c>
      <c r="H81" s="81"/>
      <c r="I81" s="81"/>
      <c r="J81" s="81"/>
      <c r="K81" s="81"/>
      <c r="L81" s="81"/>
      <c r="M81" s="81"/>
      <c r="N81" s="83"/>
      <c r="O81" s="705"/>
      <c r="P81" s="232"/>
      <c r="Q81" s="82"/>
    </row>
    <row r="82" spans="1:17">
      <c r="A82" s="728"/>
      <c r="B82" s="651"/>
      <c r="C82" s="52">
        <v>46199</v>
      </c>
      <c r="D82" s="78">
        <v>46219</v>
      </c>
      <c r="E82" s="81">
        <v>58</v>
      </c>
      <c r="F82" s="165">
        <v>1362876</v>
      </c>
      <c r="G82" s="165" t="s">
        <v>492</v>
      </c>
      <c r="H82" s="81"/>
      <c r="I82" s="81"/>
      <c r="J82" s="81"/>
      <c r="K82" s="81"/>
      <c r="L82" s="81"/>
      <c r="M82" s="81"/>
      <c r="N82" s="83"/>
      <c r="O82" s="705"/>
      <c r="P82" s="232"/>
      <c r="Q82" s="82"/>
    </row>
    <row r="83" spans="1:17">
      <c r="A83" s="728"/>
      <c r="B83" s="748"/>
      <c r="C83" s="52">
        <v>46199</v>
      </c>
      <c r="D83" s="78">
        <v>46219</v>
      </c>
      <c r="E83" s="81">
        <v>58</v>
      </c>
      <c r="F83" s="165">
        <v>1278506</v>
      </c>
      <c r="G83" s="165" t="s">
        <v>493</v>
      </c>
      <c r="H83" s="81"/>
      <c r="I83" s="81"/>
      <c r="J83" s="81"/>
      <c r="K83" s="81"/>
      <c r="L83" s="81"/>
      <c r="M83" s="81"/>
      <c r="N83" s="83"/>
      <c r="O83" s="616"/>
      <c r="P83" s="232"/>
      <c r="Q83" s="82"/>
    </row>
    <row r="84" spans="1:17">
      <c r="A84" s="729"/>
      <c r="B84" s="740" t="s">
        <v>494</v>
      </c>
      <c r="C84" s="741"/>
      <c r="D84" s="741"/>
      <c r="E84" s="741"/>
      <c r="F84" s="741"/>
      <c r="G84" s="741"/>
      <c r="H84" s="741"/>
      <c r="I84" s="741"/>
      <c r="J84" s="741"/>
      <c r="K84" s="741"/>
      <c r="L84" s="741"/>
      <c r="M84" s="741"/>
      <c r="N84" s="741"/>
      <c r="O84" s="741"/>
      <c r="P84" s="742"/>
      <c r="Q84" s="88"/>
    </row>
    <row r="85" spans="1:17">
      <c r="A85" s="746" t="s">
        <v>495</v>
      </c>
      <c r="B85" s="533"/>
      <c r="C85" s="325"/>
      <c r="D85" s="192"/>
      <c r="E85" s="192"/>
      <c r="F85" s="192"/>
      <c r="G85" s="273" t="s">
        <v>496</v>
      </c>
      <c r="H85" s="192"/>
      <c r="I85" s="192"/>
      <c r="J85" s="192"/>
      <c r="K85" s="192"/>
      <c r="L85" s="192"/>
      <c r="M85" s="192"/>
      <c r="N85" s="192"/>
      <c r="O85" s="192"/>
      <c r="P85" s="192"/>
      <c r="Q85" s="134"/>
    </row>
    <row r="86" spans="1:17" ht="15" customHeight="1">
      <c r="A86" s="747"/>
      <c r="B86" s="730" t="s">
        <v>497</v>
      </c>
      <c r="C86" s="326">
        <v>46199</v>
      </c>
      <c r="D86" s="140">
        <v>46219</v>
      </c>
      <c r="E86" s="141">
        <v>88</v>
      </c>
      <c r="F86" s="288">
        <v>3401553</v>
      </c>
      <c r="G86" s="452" t="s">
        <v>498</v>
      </c>
      <c r="H86" s="141"/>
      <c r="I86" s="141"/>
      <c r="J86" s="141"/>
      <c r="K86" s="141"/>
      <c r="L86" s="141"/>
      <c r="M86" s="141"/>
      <c r="N86" s="142"/>
      <c r="O86" s="289">
        <v>0.25</v>
      </c>
      <c r="P86" s="184"/>
      <c r="Q86" s="290" t="s">
        <v>499</v>
      </c>
    </row>
    <row r="87" spans="1:17" ht="15" customHeight="1">
      <c r="A87" s="747"/>
      <c r="B87" s="730"/>
      <c r="C87" s="324">
        <v>46199</v>
      </c>
      <c r="D87" s="78">
        <v>46219</v>
      </c>
      <c r="E87" s="81">
        <v>88</v>
      </c>
      <c r="F87" s="270">
        <v>750802</v>
      </c>
      <c r="G87" s="409" t="s">
        <v>500</v>
      </c>
      <c r="H87" s="81"/>
      <c r="I87" s="81"/>
      <c r="J87" s="81"/>
      <c r="K87" s="81"/>
      <c r="L87" s="81"/>
      <c r="M87" s="81"/>
      <c r="N87" s="83"/>
      <c r="O87" s="271">
        <v>0.25</v>
      </c>
      <c r="P87" s="232"/>
      <c r="Q87" s="272" t="s">
        <v>501</v>
      </c>
    </row>
    <row r="88" spans="1:17" ht="15" customHeight="1">
      <c r="A88" s="747"/>
      <c r="B88" s="730"/>
      <c r="C88" s="324">
        <v>46199</v>
      </c>
      <c r="D88" s="78">
        <v>46219</v>
      </c>
      <c r="E88" s="81">
        <v>88</v>
      </c>
      <c r="F88" s="270">
        <v>750824</v>
      </c>
      <c r="G88" s="409" t="s">
        <v>502</v>
      </c>
      <c r="H88" s="81"/>
      <c r="I88" s="81"/>
      <c r="J88" s="81"/>
      <c r="K88" s="81"/>
      <c r="L88" s="81"/>
      <c r="M88" s="81"/>
      <c r="N88" s="83"/>
      <c r="O88" s="271">
        <v>0.25</v>
      </c>
      <c r="P88" s="232"/>
      <c r="Q88" s="272" t="s">
        <v>501</v>
      </c>
    </row>
    <row r="89" spans="1:17" ht="15" customHeight="1">
      <c r="A89" s="747"/>
      <c r="B89" s="730"/>
      <c r="C89" s="324">
        <v>46199</v>
      </c>
      <c r="D89" s="78">
        <v>46219</v>
      </c>
      <c r="E89" s="81">
        <v>88</v>
      </c>
      <c r="F89" s="270">
        <v>785024</v>
      </c>
      <c r="G89" s="409" t="s">
        <v>503</v>
      </c>
      <c r="H89" s="81"/>
      <c r="I89" s="81"/>
      <c r="J89" s="81"/>
      <c r="K89" s="81"/>
      <c r="L89" s="81"/>
      <c r="M89" s="81"/>
      <c r="N89" s="83"/>
      <c r="O89" s="271">
        <v>0.25</v>
      </c>
      <c r="P89" s="232"/>
      <c r="Q89" s="272" t="s">
        <v>504</v>
      </c>
    </row>
    <row r="90" spans="1:17" ht="15" customHeight="1">
      <c r="A90" s="747"/>
      <c r="B90" s="730"/>
      <c r="C90" s="324">
        <v>46199</v>
      </c>
      <c r="D90" s="78">
        <v>46219</v>
      </c>
      <c r="E90" s="81">
        <v>88</v>
      </c>
      <c r="F90" s="270">
        <v>3552960</v>
      </c>
      <c r="G90" s="409" t="s">
        <v>505</v>
      </c>
      <c r="H90" s="81"/>
      <c r="I90" s="81"/>
      <c r="J90" s="81"/>
      <c r="K90" s="81"/>
      <c r="L90" s="81"/>
      <c r="M90" s="81"/>
      <c r="N90" s="83"/>
      <c r="O90" s="271">
        <v>0.25</v>
      </c>
      <c r="P90" s="232"/>
      <c r="Q90" s="272" t="s">
        <v>506</v>
      </c>
    </row>
    <row r="91" spans="1:17" ht="15" customHeight="1">
      <c r="A91" s="747"/>
      <c r="B91" s="730"/>
      <c r="C91" s="324">
        <v>46199</v>
      </c>
      <c r="D91" s="78">
        <v>46219</v>
      </c>
      <c r="E91" s="81">
        <v>88</v>
      </c>
      <c r="F91" s="270">
        <v>859404</v>
      </c>
      <c r="G91" s="409" t="s">
        <v>507</v>
      </c>
      <c r="H91" s="81"/>
      <c r="I91" s="81"/>
      <c r="J91" s="81"/>
      <c r="K91" s="81"/>
      <c r="L91" s="81"/>
      <c r="M91" s="81"/>
      <c r="N91" s="83"/>
      <c r="O91" s="271">
        <v>0.25</v>
      </c>
      <c r="P91" s="232"/>
      <c r="Q91" s="272" t="s">
        <v>508</v>
      </c>
    </row>
    <row r="92" spans="1:17" ht="15" customHeight="1">
      <c r="A92" s="747"/>
      <c r="B92" s="730"/>
      <c r="C92" s="324">
        <v>46199</v>
      </c>
      <c r="D92" s="78">
        <v>46219</v>
      </c>
      <c r="E92" s="81">
        <v>88</v>
      </c>
      <c r="F92" s="270">
        <v>859980</v>
      </c>
      <c r="G92" s="409" t="s">
        <v>509</v>
      </c>
      <c r="H92" s="81"/>
      <c r="I92" s="81"/>
      <c r="J92" s="81"/>
      <c r="K92" s="81"/>
      <c r="L92" s="81"/>
      <c r="M92" s="81"/>
      <c r="N92" s="83"/>
      <c r="O92" s="737" t="s">
        <v>74</v>
      </c>
      <c r="P92" s="232"/>
      <c r="Q92" s="272" t="s">
        <v>510</v>
      </c>
    </row>
    <row r="93" spans="1:17" ht="15" customHeight="1">
      <c r="A93" s="747"/>
      <c r="B93" s="730"/>
      <c r="C93" s="324">
        <v>46199</v>
      </c>
      <c r="D93" s="78">
        <v>46219</v>
      </c>
      <c r="E93" s="81">
        <v>88</v>
      </c>
      <c r="F93" s="270">
        <v>139033</v>
      </c>
      <c r="G93" s="409" t="s">
        <v>511</v>
      </c>
      <c r="H93" s="81"/>
      <c r="I93" s="81"/>
      <c r="J93" s="81"/>
      <c r="K93" s="81"/>
      <c r="L93" s="81"/>
      <c r="M93" s="81"/>
      <c r="N93" s="83"/>
      <c r="O93" s="737"/>
      <c r="P93" s="232"/>
      <c r="Q93" s="272" t="s">
        <v>510</v>
      </c>
    </row>
    <row r="94" spans="1:17" ht="15" customHeight="1">
      <c r="A94" s="747"/>
      <c r="B94" s="730"/>
      <c r="C94" s="324">
        <v>46199</v>
      </c>
      <c r="D94" s="78">
        <v>46219</v>
      </c>
      <c r="E94" s="81">
        <v>88</v>
      </c>
      <c r="F94" s="270">
        <v>517237</v>
      </c>
      <c r="G94" s="409" t="s">
        <v>512</v>
      </c>
      <c r="H94" s="81"/>
      <c r="I94" s="81"/>
      <c r="J94" s="81"/>
      <c r="K94" s="81"/>
      <c r="L94" s="81"/>
      <c r="M94" s="81"/>
      <c r="N94" s="83"/>
      <c r="O94" s="737"/>
      <c r="P94" s="232"/>
      <c r="Q94" s="272" t="s">
        <v>510</v>
      </c>
    </row>
    <row r="95" spans="1:17" ht="15" customHeight="1">
      <c r="A95" s="747"/>
      <c r="B95" s="730"/>
      <c r="C95" s="324">
        <v>46199</v>
      </c>
      <c r="D95" s="78">
        <v>46219</v>
      </c>
      <c r="E95" s="81">
        <v>88</v>
      </c>
      <c r="F95" s="270">
        <v>456245</v>
      </c>
      <c r="G95" s="409" t="s">
        <v>513</v>
      </c>
      <c r="H95" s="81"/>
      <c r="I95" s="81"/>
      <c r="J95" s="81"/>
      <c r="K95" s="81"/>
      <c r="L95" s="81"/>
      <c r="M95" s="81"/>
      <c r="N95" s="83"/>
      <c r="O95" s="737" t="s">
        <v>74</v>
      </c>
      <c r="P95" s="232"/>
      <c r="Q95" s="272" t="s">
        <v>514</v>
      </c>
    </row>
    <row r="96" spans="1:17" ht="15" customHeight="1">
      <c r="A96" s="747"/>
      <c r="B96" s="730"/>
      <c r="C96" s="324">
        <v>46199</v>
      </c>
      <c r="D96" s="78">
        <v>46219</v>
      </c>
      <c r="E96" s="81">
        <v>88</v>
      </c>
      <c r="F96" s="270">
        <v>456162</v>
      </c>
      <c r="G96" s="409" t="s">
        <v>515</v>
      </c>
      <c r="H96" s="81"/>
      <c r="I96" s="81"/>
      <c r="J96" s="81"/>
      <c r="K96" s="81"/>
      <c r="L96" s="81"/>
      <c r="M96" s="81"/>
      <c r="N96" s="83"/>
      <c r="O96" s="737"/>
      <c r="P96" s="232"/>
      <c r="Q96" s="272" t="s">
        <v>514</v>
      </c>
    </row>
    <row r="97" spans="1:17">
      <c r="A97" s="747"/>
      <c r="B97" s="192"/>
      <c r="C97" s="325"/>
      <c r="D97" s="192"/>
      <c r="E97" s="192"/>
      <c r="F97" s="192"/>
      <c r="G97" s="273" t="s">
        <v>516</v>
      </c>
      <c r="H97" s="192"/>
      <c r="I97" s="192"/>
      <c r="J97" s="192"/>
      <c r="K97" s="192"/>
      <c r="L97" s="192"/>
      <c r="M97" s="192"/>
      <c r="N97" s="192"/>
      <c r="O97" s="192"/>
      <c r="P97" s="192"/>
      <c r="Q97" s="134"/>
    </row>
    <row r="98" spans="1:17">
      <c r="A98" s="747"/>
      <c r="B98" s="731" t="s">
        <v>130</v>
      </c>
      <c r="C98" s="324">
        <v>46199</v>
      </c>
      <c r="D98" s="78">
        <v>46219</v>
      </c>
      <c r="E98" s="81">
        <v>88</v>
      </c>
      <c r="F98" s="270">
        <v>1434418</v>
      </c>
      <c r="G98" s="270" t="s">
        <v>517</v>
      </c>
      <c r="H98" s="81"/>
      <c r="I98" s="81"/>
      <c r="J98" s="81"/>
      <c r="K98" s="81"/>
      <c r="L98" s="81"/>
      <c r="M98" s="81"/>
      <c r="N98" s="83"/>
      <c r="O98" s="754">
        <v>0.25</v>
      </c>
      <c r="P98" s="232"/>
      <c r="Q98" s="82"/>
    </row>
    <row r="99" spans="1:17">
      <c r="A99" s="747"/>
      <c r="B99" s="731"/>
      <c r="C99" s="324">
        <v>46199</v>
      </c>
      <c r="D99" s="78">
        <v>46219</v>
      </c>
      <c r="E99" s="81">
        <v>88</v>
      </c>
      <c r="F99" s="270">
        <v>1434420</v>
      </c>
      <c r="G99" s="270" t="s">
        <v>518</v>
      </c>
      <c r="H99" s="81"/>
      <c r="I99" s="81"/>
      <c r="J99" s="81"/>
      <c r="K99" s="81"/>
      <c r="L99" s="81"/>
      <c r="M99" s="81"/>
      <c r="N99" s="83"/>
      <c r="O99" s="754"/>
      <c r="P99" s="232"/>
      <c r="Q99" s="82"/>
    </row>
    <row r="100" spans="1:17">
      <c r="A100" s="747"/>
      <c r="B100" s="731"/>
      <c r="C100" s="324">
        <v>46199</v>
      </c>
      <c r="D100" s="78">
        <v>46219</v>
      </c>
      <c r="E100" s="81">
        <v>88</v>
      </c>
      <c r="F100" s="270">
        <v>271156</v>
      </c>
      <c r="G100" s="270" t="s">
        <v>519</v>
      </c>
      <c r="H100" s="81"/>
      <c r="I100" s="81"/>
      <c r="J100" s="81"/>
      <c r="K100" s="81"/>
      <c r="L100" s="81"/>
      <c r="M100" s="81"/>
      <c r="N100" s="83"/>
      <c r="O100" s="754"/>
      <c r="P100" s="232"/>
      <c r="Q100" s="82"/>
    </row>
    <row r="101" spans="1:17">
      <c r="A101" s="747"/>
      <c r="B101" s="160"/>
      <c r="C101" s="174"/>
      <c r="D101" s="160"/>
      <c r="E101" s="161"/>
      <c r="F101" s="162"/>
      <c r="G101" s="167" t="s">
        <v>520</v>
      </c>
      <c r="H101" s="161"/>
      <c r="I101" s="161"/>
      <c r="J101" s="161"/>
      <c r="K101" s="161"/>
      <c r="L101" s="161"/>
      <c r="M101" s="161"/>
      <c r="N101" s="163"/>
      <c r="O101" s="164"/>
      <c r="P101" s="262"/>
      <c r="Q101" s="134"/>
    </row>
    <row r="102" spans="1:17">
      <c r="A102" s="747"/>
      <c r="B102" s="731" t="s">
        <v>71</v>
      </c>
      <c r="C102" s="324">
        <v>46199</v>
      </c>
      <c r="D102" s="78">
        <v>46219</v>
      </c>
      <c r="E102" s="81">
        <v>88</v>
      </c>
      <c r="F102" s="270">
        <v>154023</v>
      </c>
      <c r="G102" s="270" t="s">
        <v>521</v>
      </c>
      <c r="H102" s="83"/>
      <c r="I102" s="81"/>
      <c r="J102" s="81"/>
      <c r="K102" s="81"/>
      <c r="L102" s="81"/>
      <c r="M102" s="81"/>
      <c r="N102" s="83"/>
      <c r="O102" s="737" t="s">
        <v>100</v>
      </c>
      <c r="P102" s="232"/>
      <c r="Q102" s="82"/>
    </row>
    <row r="103" spans="1:17">
      <c r="A103" s="747"/>
      <c r="B103" s="731"/>
      <c r="C103" s="324">
        <v>46199</v>
      </c>
      <c r="D103" s="78">
        <v>46219</v>
      </c>
      <c r="E103" s="81">
        <v>88</v>
      </c>
      <c r="F103" s="270">
        <v>734468</v>
      </c>
      <c r="G103" s="270" t="s">
        <v>522</v>
      </c>
      <c r="H103" s="83"/>
      <c r="I103" s="81"/>
      <c r="J103" s="81"/>
      <c r="K103" s="81"/>
      <c r="L103" s="81"/>
      <c r="M103" s="81"/>
      <c r="N103" s="83"/>
      <c r="O103" s="737"/>
      <c r="P103" s="232"/>
      <c r="Q103" s="82"/>
    </row>
    <row r="104" spans="1:17">
      <c r="A104" s="747"/>
      <c r="B104" s="731"/>
      <c r="C104" s="324">
        <v>46199</v>
      </c>
      <c r="D104" s="78">
        <v>46219</v>
      </c>
      <c r="E104" s="81">
        <v>88</v>
      </c>
      <c r="F104" s="270">
        <v>3023617</v>
      </c>
      <c r="G104" s="270" t="s">
        <v>523</v>
      </c>
      <c r="H104" s="83"/>
      <c r="I104" s="81"/>
      <c r="J104" s="81"/>
      <c r="K104" s="81"/>
      <c r="L104" s="81"/>
      <c r="M104" s="81"/>
      <c r="N104" s="83"/>
      <c r="O104" s="737"/>
      <c r="P104" s="232"/>
      <c r="Q104" s="82"/>
    </row>
    <row r="105" spans="1:17">
      <c r="A105" s="747"/>
      <c r="B105" s="731"/>
      <c r="C105" s="324">
        <v>46199</v>
      </c>
      <c r="D105" s="78">
        <v>46219</v>
      </c>
      <c r="E105" s="81">
        <v>88</v>
      </c>
      <c r="F105" s="270">
        <v>158596</v>
      </c>
      <c r="G105" s="270" t="s">
        <v>524</v>
      </c>
      <c r="H105" s="83"/>
      <c r="I105" s="81"/>
      <c r="J105" s="81"/>
      <c r="K105" s="81"/>
      <c r="L105" s="81"/>
      <c r="M105" s="81"/>
      <c r="N105" s="83"/>
      <c r="O105" s="737"/>
      <c r="P105" s="232"/>
      <c r="Q105" s="82"/>
    </row>
    <row r="106" spans="1:17">
      <c r="A106" s="747"/>
      <c r="B106" s="731"/>
      <c r="C106" s="324">
        <v>46199</v>
      </c>
      <c r="D106" s="78">
        <v>46219</v>
      </c>
      <c r="E106" s="81">
        <v>88</v>
      </c>
      <c r="F106" s="270">
        <v>734470</v>
      </c>
      <c r="G106" s="270" t="s">
        <v>525</v>
      </c>
      <c r="H106" s="83"/>
      <c r="I106" s="81"/>
      <c r="J106" s="81"/>
      <c r="K106" s="81"/>
      <c r="L106" s="81"/>
      <c r="M106" s="81"/>
      <c r="N106" s="83"/>
      <c r="O106" s="737"/>
      <c r="P106" s="232"/>
      <c r="Q106" s="82"/>
    </row>
    <row r="107" spans="1:17">
      <c r="A107" s="747"/>
      <c r="B107" s="731"/>
      <c r="C107" s="324">
        <v>46199</v>
      </c>
      <c r="D107" s="78">
        <v>46219</v>
      </c>
      <c r="E107" s="81">
        <v>88</v>
      </c>
      <c r="F107" s="270">
        <v>3023616</v>
      </c>
      <c r="G107" s="270" t="s">
        <v>526</v>
      </c>
      <c r="H107" s="83"/>
      <c r="I107" s="81"/>
      <c r="J107" s="81"/>
      <c r="K107" s="81"/>
      <c r="L107" s="81"/>
      <c r="M107" s="81"/>
      <c r="N107" s="83"/>
      <c r="O107" s="737"/>
      <c r="P107" s="232"/>
      <c r="Q107" s="82"/>
    </row>
    <row r="108" spans="1:17">
      <c r="A108" s="747"/>
      <c r="B108" s="160"/>
      <c r="C108" s="174"/>
      <c r="D108" s="160"/>
      <c r="E108" s="161"/>
      <c r="F108" s="162"/>
      <c r="G108" s="167" t="s">
        <v>527</v>
      </c>
      <c r="H108" s="161"/>
      <c r="I108" s="161"/>
      <c r="J108" s="161"/>
      <c r="K108" s="161"/>
      <c r="L108" s="161"/>
      <c r="M108" s="161"/>
      <c r="N108" s="163"/>
      <c r="O108" s="173"/>
      <c r="P108" s="262"/>
      <c r="Q108" s="134"/>
    </row>
    <row r="109" spans="1:17" ht="15" customHeight="1">
      <c r="A109" s="747"/>
      <c r="B109" s="331" t="s">
        <v>71</v>
      </c>
      <c r="C109" s="324"/>
      <c r="D109" s="78"/>
      <c r="E109" s="81">
        <v>88</v>
      </c>
      <c r="F109" s="81" t="s">
        <v>528</v>
      </c>
      <c r="G109" s="83" t="s">
        <v>529</v>
      </c>
      <c r="H109" s="81"/>
      <c r="I109" s="81"/>
      <c r="J109" s="81"/>
      <c r="K109" s="81"/>
      <c r="L109" s="81"/>
      <c r="M109" s="81"/>
      <c r="N109" s="170"/>
      <c r="O109" s="597" t="s">
        <v>100</v>
      </c>
      <c r="P109" s="265"/>
      <c r="Q109" s="600" t="s">
        <v>530</v>
      </c>
    </row>
    <row r="110" spans="1:17">
      <c r="A110" s="747"/>
      <c r="B110" s="160"/>
      <c r="C110" s="327"/>
      <c r="D110" s="210"/>
      <c r="E110" s="171"/>
      <c r="F110" s="223"/>
      <c r="G110" s="182" t="s">
        <v>531</v>
      </c>
      <c r="H110" s="171"/>
      <c r="I110" s="171"/>
      <c r="J110" s="171"/>
      <c r="K110" s="171"/>
      <c r="L110" s="171"/>
      <c r="M110" s="171"/>
      <c r="N110" s="172"/>
      <c r="O110" s="173"/>
      <c r="P110" s="274"/>
      <c r="Q110" s="144"/>
    </row>
    <row r="111" spans="1:17">
      <c r="A111" s="747"/>
      <c r="B111" s="731" t="s">
        <v>71</v>
      </c>
      <c r="C111" s="324">
        <v>46199</v>
      </c>
      <c r="D111" s="78">
        <v>46219</v>
      </c>
      <c r="E111" s="81">
        <v>88</v>
      </c>
      <c r="F111" s="270">
        <v>282811</v>
      </c>
      <c r="G111" s="270" t="s">
        <v>532</v>
      </c>
      <c r="H111" s="81"/>
      <c r="I111" s="81"/>
      <c r="J111" s="81"/>
      <c r="K111" s="81"/>
      <c r="L111" s="81"/>
      <c r="M111" s="81"/>
      <c r="N111" s="83"/>
      <c r="O111" s="754">
        <v>0.3</v>
      </c>
      <c r="P111" s="232"/>
      <c r="Q111" s="82"/>
    </row>
    <row r="112" spans="1:17">
      <c r="A112" s="747"/>
      <c r="B112" s="731"/>
      <c r="C112" s="324">
        <v>46199</v>
      </c>
      <c r="D112" s="78">
        <v>46219</v>
      </c>
      <c r="E112" s="81">
        <v>88</v>
      </c>
      <c r="F112" s="270">
        <v>272418</v>
      </c>
      <c r="G112" s="270" t="s">
        <v>533</v>
      </c>
      <c r="H112" s="81"/>
      <c r="I112" s="81"/>
      <c r="J112" s="81"/>
      <c r="K112" s="81"/>
      <c r="L112" s="81"/>
      <c r="M112" s="81"/>
      <c r="N112" s="83"/>
      <c r="O112" s="754"/>
      <c r="P112" s="232"/>
      <c r="Q112" s="82"/>
    </row>
    <row r="113" spans="1:17">
      <c r="A113" s="747"/>
      <c r="B113" s="731"/>
      <c r="C113" s="324">
        <v>46199</v>
      </c>
      <c r="D113" s="78">
        <v>46219</v>
      </c>
      <c r="E113" s="81">
        <v>88</v>
      </c>
      <c r="F113" s="270">
        <v>636902</v>
      </c>
      <c r="G113" s="270" t="s">
        <v>534</v>
      </c>
      <c r="H113" s="81"/>
      <c r="I113" s="81"/>
      <c r="J113" s="81"/>
      <c r="K113" s="81"/>
      <c r="L113" s="81"/>
      <c r="M113" s="81"/>
      <c r="N113" s="83"/>
      <c r="O113" s="754"/>
      <c r="P113" s="232"/>
      <c r="Q113" s="82"/>
    </row>
    <row r="114" spans="1:17">
      <c r="A114" s="747"/>
      <c r="B114" s="731"/>
      <c r="C114" s="324">
        <v>46199</v>
      </c>
      <c r="D114" s="78">
        <v>46219</v>
      </c>
      <c r="E114" s="81">
        <v>88</v>
      </c>
      <c r="F114" s="270">
        <v>3706359</v>
      </c>
      <c r="G114" s="270" t="s">
        <v>535</v>
      </c>
      <c r="H114" s="81"/>
      <c r="I114" s="81"/>
      <c r="J114" s="81"/>
      <c r="K114" s="81"/>
      <c r="L114" s="81"/>
      <c r="M114" s="81"/>
      <c r="N114" s="83"/>
      <c r="O114" s="754"/>
      <c r="P114" s="232"/>
      <c r="Q114" s="82"/>
    </row>
    <row r="115" spans="1:17">
      <c r="A115" s="747"/>
      <c r="B115" s="731"/>
      <c r="C115" s="324">
        <v>46199</v>
      </c>
      <c r="D115" s="78">
        <v>46219</v>
      </c>
      <c r="E115" s="81">
        <v>88</v>
      </c>
      <c r="F115" s="270">
        <v>333315</v>
      </c>
      <c r="G115" s="270" t="s">
        <v>536</v>
      </c>
      <c r="H115" s="81"/>
      <c r="I115" s="81"/>
      <c r="J115" s="81"/>
      <c r="K115" s="81"/>
      <c r="L115" s="81"/>
      <c r="M115" s="81"/>
      <c r="N115" s="83"/>
      <c r="O115" s="754"/>
      <c r="P115" s="232"/>
      <c r="Q115" s="82"/>
    </row>
    <row r="116" spans="1:17">
      <c r="A116" s="747"/>
      <c r="B116" s="731"/>
      <c r="C116" s="324">
        <v>46199</v>
      </c>
      <c r="D116" s="78">
        <v>46219</v>
      </c>
      <c r="E116" s="81">
        <v>88</v>
      </c>
      <c r="F116" s="270">
        <v>435987</v>
      </c>
      <c r="G116" s="270" t="s">
        <v>537</v>
      </c>
      <c r="H116" s="81"/>
      <c r="I116" s="81"/>
      <c r="J116" s="81"/>
      <c r="K116" s="81"/>
      <c r="L116" s="81"/>
      <c r="M116" s="81"/>
      <c r="N116" s="83"/>
      <c r="O116" s="754"/>
      <c r="P116" s="232"/>
      <c r="Q116" s="82"/>
    </row>
    <row r="117" spans="1:17">
      <c r="A117" s="747"/>
      <c r="B117" s="731"/>
      <c r="C117" s="324">
        <v>46199</v>
      </c>
      <c r="D117" s="78">
        <v>46219</v>
      </c>
      <c r="E117" s="81">
        <v>88</v>
      </c>
      <c r="F117" s="270">
        <v>3706358</v>
      </c>
      <c r="G117" s="270" t="s">
        <v>538</v>
      </c>
      <c r="H117" s="81"/>
      <c r="I117" s="81"/>
      <c r="J117" s="81"/>
      <c r="K117" s="81"/>
      <c r="L117" s="81"/>
      <c r="M117" s="81"/>
      <c r="N117" s="83"/>
      <c r="O117" s="754"/>
      <c r="P117" s="232"/>
      <c r="Q117" s="82"/>
    </row>
    <row r="118" spans="1:17">
      <c r="A118" s="747"/>
      <c r="B118" s="731"/>
      <c r="C118" s="324">
        <v>46199</v>
      </c>
      <c r="D118" s="78">
        <v>46219</v>
      </c>
      <c r="E118" s="81">
        <v>88</v>
      </c>
      <c r="F118" s="270">
        <v>126092</v>
      </c>
      <c r="G118" s="270" t="s">
        <v>539</v>
      </c>
      <c r="H118" s="81"/>
      <c r="I118" s="81"/>
      <c r="J118" s="81"/>
      <c r="K118" s="81"/>
      <c r="L118" s="81"/>
      <c r="M118" s="81"/>
      <c r="N118" s="83"/>
      <c r="O118" s="754"/>
      <c r="P118" s="232"/>
      <c r="Q118" s="82"/>
    </row>
    <row r="119" spans="1:17">
      <c r="A119" s="747"/>
      <c r="B119" s="731"/>
      <c r="C119" s="324">
        <v>46199</v>
      </c>
      <c r="D119" s="78">
        <v>46219</v>
      </c>
      <c r="E119" s="81">
        <v>88</v>
      </c>
      <c r="F119" s="270">
        <v>596372</v>
      </c>
      <c r="G119" s="270" t="s">
        <v>540</v>
      </c>
      <c r="H119" s="81"/>
      <c r="I119" s="81"/>
      <c r="J119" s="81"/>
      <c r="K119" s="81"/>
      <c r="L119" s="81"/>
      <c r="M119" s="81"/>
      <c r="N119" s="83"/>
      <c r="O119" s="754"/>
      <c r="P119" s="232"/>
      <c r="Q119" s="82"/>
    </row>
    <row r="120" spans="1:17">
      <c r="A120" s="747"/>
      <c r="B120" s="731"/>
      <c r="C120" s="324">
        <v>46199</v>
      </c>
      <c r="D120" s="78">
        <v>46219</v>
      </c>
      <c r="E120" s="81">
        <v>88</v>
      </c>
      <c r="F120" s="270">
        <v>3685321</v>
      </c>
      <c r="G120" s="270" t="s">
        <v>541</v>
      </c>
      <c r="H120" s="81"/>
      <c r="I120" s="81"/>
      <c r="J120" s="81"/>
      <c r="K120" s="81"/>
      <c r="L120" s="81"/>
      <c r="M120" s="81"/>
      <c r="N120" s="83"/>
      <c r="O120" s="754"/>
      <c r="P120" s="232"/>
      <c r="Q120" s="82"/>
    </row>
    <row r="121" spans="1:17">
      <c r="A121" s="747"/>
      <c r="B121" s="731"/>
      <c r="C121" s="324">
        <v>46199</v>
      </c>
      <c r="D121" s="78">
        <v>46219</v>
      </c>
      <c r="E121" s="81">
        <v>88</v>
      </c>
      <c r="F121" s="270">
        <v>698016</v>
      </c>
      <c r="G121" s="270" t="s">
        <v>542</v>
      </c>
      <c r="H121" s="81"/>
      <c r="I121" s="81"/>
      <c r="J121" s="81"/>
      <c r="K121" s="81"/>
      <c r="L121" s="81"/>
      <c r="M121" s="81"/>
      <c r="N121" s="83"/>
      <c r="O121" s="754"/>
      <c r="P121" s="232"/>
      <c r="Q121" s="82"/>
    </row>
    <row r="122" spans="1:17">
      <c r="A122" s="747"/>
      <c r="B122" s="731"/>
      <c r="C122" s="324">
        <v>46199</v>
      </c>
      <c r="D122" s="78">
        <v>46219</v>
      </c>
      <c r="E122" s="81">
        <v>88</v>
      </c>
      <c r="F122" s="270">
        <v>3831112</v>
      </c>
      <c r="G122" s="270" t="s">
        <v>543</v>
      </c>
      <c r="H122" s="81"/>
      <c r="I122" s="81"/>
      <c r="J122" s="81"/>
      <c r="K122" s="81"/>
      <c r="L122" s="81"/>
      <c r="M122" s="81"/>
      <c r="N122" s="83"/>
      <c r="O122" s="754"/>
      <c r="P122" s="232"/>
      <c r="Q122" s="82"/>
    </row>
    <row r="123" spans="1:17">
      <c r="A123" s="747"/>
      <c r="B123" s="534"/>
      <c r="C123" s="275"/>
      <c r="D123" s="275"/>
      <c r="E123" s="276"/>
      <c r="F123" s="277"/>
      <c r="G123" s="269" t="s">
        <v>544</v>
      </c>
      <c r="H123" s="276"/>
      <c r="I123" s="276"/>
      <c r="J123" s="276"/>
      <c r="K123" s="276"/>
      <c r="L123" s="276"/>
      <c r="M123" s="276"/>
      <c r="N123" s="269"/>
      <c r="O123" s="278"/>
      <c r="P123" s="279"/>
      <c r="Q123" s="280"/>
    </row>
    <row r="124" spans="1:17">
      <c r="A124" s="747"/>
      <c r="B124" s="731" t="s">
        <v>71</v>
      </c>
      <c r="C124" s="324">
        <v>46199</v>
      </c>
      <c r="D124" s="78">
        <v>46219</v>
      </c>
      <c r="E124" s="81">
        <v>88</v>
      </c>
      <c r="F124" s="175">
        <v>1712121</v>
      </c>
      <c r="G124" s="175" t="s">
        <v>545</v>
      </c>
      <c r="H124" s="81"/>
      <c r="I124" s="81"/>
      <c r="J124" s="81"/>
      <c r="K124" s="81"/>
      <c r="L124" s="81"/>
      <c r="M124" s="81"/>
      <c r="N124" s="83"/>
      <c r="O124" s="281">
        <v>12000</v>
      </c>
      <c r="P124" s="232"/>
      <c r="Q124" s="82"/>
    </row>
    <row r="125" spans="1:17">
      <c r="A125" s="747"/>
      <c r="B125" s="731"/>
      <c r="C125" s="324">
        <v>46199</v>
      </c>
      <c r="D125" s="78">
        <v>46219</v>
      </c>
      <c r="E125" s="81">
        <v>88</v>
      </c>
      <c r="F125" s="175">
        <v>1740538</v>
      </c>
      <c r="G125" s="175" t="s">
        <v>546</v>
      </c>
      <c r="H125" s="81"/>
      <c r="I125" s="81"/>
      <c r="J125" s="81"/>
      <c r="K125" s="81"/>
      <c r="L125" s="81"/>
      <c r="M125" s="81"/>
      <c r="N125" s="83"/>
      <c r="O125" s="281">
        <v>12000</v>
      </c>
      <c r="P125" s="232"/>
      <c r="Q125" s="82"/>
    </row>
    <row r="126" spans="1:17">
      <c r="A126" s="747"/>
      <c r="B126" s="731"/>
      <c r="C126" s="324">
        <v>46199</v>
      </c>
      <c r="D126" s="78">
        <v>46219</v>
      </c>
      <c r="E126" s="81">
        <v>88</v>
      </c>
      <c r="F126" s="175">
        <v>3315332</v>
      </c>
      <c r="G126" s="175" t="s">
        <v>547</v>
      </c>
      <c r="H126" s="81"/>
      <c r="I126" s="81"/>
      <c r="J126" s="81"/>
      <c r="K126" s="81"/>
      <c r="L126" s="81"/>
      <c r="M126" s="81"/>
      <c r="N126" s="83"/>
      <c r="O126" s="281">
        <v>12000</v>
      </c>
      <c r="P126" s="232"/>
      <c r="Q126" s="82"/>
    </row>
    <row r="127" spans="1:17">
      <c r="A127" s="747"/>
      <c r="B127" s="731"/>
      <c r="C127" s="323">
        <v>46199</v>
      </c>
      <c r="D127" s="138">
        <v>46219</v>
      </c>
      <c r="E127" s="94">
        <v>88</v>
      </c>
      <c r="F127" s="206">
        <v>3315333</v>
      </c>
      <c r="G127" s="206" t="s">
        <v>548</v>
      </c>
      <c r="H127" s="94"/>
      <c r="I127" s="94"/>
      <c r="J127" s="94"/>
      <c r="K127" s="94"/>
      <c r="L127" s="94"/>
      <c r="M127" s="94"/>
      <c r="N127" s="95"/>
      <c r="O127" s="284">
        <v>12000</v>
      </c>
      <c r="P127" s="183"/>
      <c r="Q127" s="119"/>
    </row>
    <row r="128" spans="1:17">
      <c r="A128" s="747"/>
      <c r="B128" s="160"/>
      <c r="C128" s="174"/>
      <c r="D128" s="160"/>
      <c r="E128" s="161"/>
      <c r="F128" s="162"/>
      <c r="G128" s="733" t="s">
        <v>549</v>
      </c>
      <c r="H128" s="733"/>
      <c r="I128" s="733"/>
      <c r="J128" s="733"/>
      <c r="K128" s="733"/>
      <c r="L128" s="733"/>
      <c r="M128" s="733"/>
      <c r="N128" s="163"/>
      <c r="O128" s="164"/>
      <c r="P128" s="262"/>
      <c r="Q128" s="134"/>
    </row>
    <row r="129" spans="1:17">
      <c r="A129" s="747"/>
      <c r="B129" s="331"/>
      <c r="C129" s="324">
        <v>46199</v>
      </c>
      <c r="D129" s="78">
        <v>46219</v>
      </c>
      <c r="E129" s="81">
        <v>88</v>
      </c>
      <c r="F129" s="270">
        <v>1368359</v>
      </c>
      <c r="G129" s="270" t="s">
        <v>550</v>
      </c>
      <c r="H129" s="81"/>
      <c r="I129" s="81"/>
      <c r="J129" s="81"/>
      <c r="K129" s="81"/>
      <c r="L129" s="81"/>
      <c r="M129" s="81"/>
      <c r="N129" s="83"/>
      <c r="O129" s="283">
        <v>15900</v>
      </c>
      <c r="P129" s="232"/>
      <c r="Q129" s="82"/>
    </row>
    <row r="130" spans="1:17">
      <c r="A130" s="747"/>
      <c r="B130" s="531"/>
      <c r="C130" s="324">
        <v>46199</v>
      </c>
      <c r="D130" s="78">
        <v>46219</v>
      </c>
      <c r="E130" s="81">
        <v>88</v>
      </c>
      <c r="F130" s="270">
        <v>1745910</v>
      </c>
      <c r="G130" s="270" t="s">
        <v>551</v>
      </c>
      <c r="H130" s="81"/>
      <c r="I130" s="81"/>
      <c r="J130" s="81"/>
      <c r="K130" s="81"/>
      <c r="L130" s="81"/>
      <c r="M130" s="81"/>
      <c r="N130" s="83"/>
      <c r="O130" s="283">
        <v>15900</v>
      </c>
      <c r="P130" s="232"/>
      <c r="Q130" s="82"/>
    </row>
    <row r="131" spans="1:17">
      <c r="A131" s="747"/>
      <c r="B131" s="331" t="s">
        <v>71</v>
      </c>
      <c r="C131" s="323">
        <v>46199</v>
      </c>
      <c r="D131" s="138">
        <v>46219</v>
      </c>
      <c r="E131" s="94">
        <v>88</v>
      </c>
      <c r="F131" s="546">
        <v>3845697</v>
      </c>
      <c r="G131" s="546" t="s">
        <v>552</v>
      </c>
      <c r="H131" s="94"/>
      <c r="I131" s="94"/>
      <c r="J131" s="94"/>
      <c r="K131" s="94"/>
      <c r="L131" s="94"/>
      <c r="M131" s="94"/>
      <c r="N131" s="95"/>
      <c r="O131" s="286">
        <v>23900</v>
      </c>
      <c r="P131" s="183"/>
      <c r="Q131" s="119"/>
    </row>
    <row r="132" spans="1:17">
      <c r="A132" s="747"/>
      <c r="B132" s="160"/>
      <c r="C132" s="174"/>
      <c r="D132" s="160"/>
      <c r="E132" s="161"/>
      <c r="F132" s="162"/>
      <c r="G132" s="167" t="s">
        <v>553</v>
      </c>
      <c r="H132" s="161"/>
      <c r="I132" s="161"/>
      <c r="J132" s="161"/>
      <c r="K132" s="161"/>
      <c r="L132" s="161"/>
      <c r="M132" s="161"/>
      <c r="N132" s="163"/>
      <c r="O132" s="164"/>
      <c r="P132" s="262"/>
      <c r="Q132" s="134"/>
    </row>
    <row r="133" spans="1:17">
      <c r="A133" s="747"/>
      <c r="B133" s="731" t="s">
        <v>71</v>
      </c>
      <c r="C133" s="324">
        <v>46199</v>
      </c>
      <c r="D133" s="78">
        <v>46219</v>
      </c>
      <c r="E133" s="81">
        <v>88</v>
      </c>
      <c r="F133" s="270">
        <v>1133678</v>
      </c>
      <c r="G133" s="270" t="s">
        <v>554</v>
      </c>
      <c r="H133" s="81"/>
      <c r="I133" s="81"/>
      <c r="J133" s="81"/>
      <c r="K133" s="81"/>
      <c r="L133" s="81"/>
      <c r="M133" s="81"/>
      <c r="N133" s="83"/>
      <c r="O133" s="708" t="s">
        <v>74</v>
      </c>
      <c r="P133" s="232"/>
      <c r="Q133" s="82"/>
    </row>
    <row r="134" spans="1:17">
      <c r="A134" s="747"/>
      <c r="B134" s="731"/>
      <c r="C134" s="324">
        <v>46199</v>
      </c>
      <c r="D134" s="78">
        <v>46219</v>
      </c>
      <c r="E134" s="81">
        <v>88</v>
      </c>
      <c r="F134" s="270">
        <v>1133679</v>
      </c>
      <c r="G134" s="270" t="s">
        <v>555</v>
      </c>
      <c r="H134" s="81"/>
      <c r="I134" s="81"/>
      <c r="J134" s="81"/>
      <c r="K134" s="81"/>
      <c r="L134" s="81"/>
      <c r="M134" s="81"/>
      <c r="N134" s="83"/>
      <c r="O134" s="709"/>
      <c r="P134" s="232"/>
      <c r="Q134" s="82"/>
    </row>
    <row r="135" spans="1:17">
      <c r="A135" s="747"/>
      <c r="B135" s="731"/>
      <c r="C135" s="324">
        <v>46199</v>
      </c>
      <c r="D135" s="78">
        <v>46219</v>
      </c>
      <c r="E135" s="81">
        <v>88</v>
      </c>
      <c r="F135" s="270">
        <v>1132498</v>
      </c>
      <c r="G135" s="270" t="s">
        <v>556</v>
      </c>
      <c r="H135" s="81"/>
      <c r="I135" s="81"/>
      <c r="J135" s="81"/>
      <c r="K135" s="81"/>
      <c r="L135" s="81"/>
      <c r="M135" s="81"/>
      <c r="N135" s="83"/>
      <c r="O135" s="709"/>
      <c r="P135" s="232"/>
      <c r="Q135" s="82"/>
    </row>
    <row r="136" spans="1:17">
      <c r="A136" s="747"/>
      <c r="B136" s="731"/>
      <c r="C136" s="324">
        <v>46199</v>
      </c>
      <c r="D136" s="78">
        <v>46219</v>
      </c>
      <c r="E136" s="81">
        <v>88</v>
      </c>
      <c r="F136" s="270">
        <v>1132499</v>
      </c>
      <c r="G136" s="270" t="s">
        <v>557</v>
      </c>
      <c r="H136" s="81"/>
      <c r="I136" s="81"/>
      <c r="J136" s="81"/>
      <c r="K136" s="81"/>
      <c r="L136" s="81"/>
      <c r="M136" s="81"/>
      <c r="N136" s="83"/>
      <c r="O136" s="709"/>
      <c r="P136" s="232"/>
      <c r="Q136" s="82"/>
    </row>
    <row r="137" spans="1:17">
      <c r="A137" s="747"/>
      <c r="B137" s="731"/>
      <c r="C137" s="324">
        <v>46199</v>
      </c>
      <c r="D137" s="78">
        <v>46219</v>
      </c>
      <c r="E137" s="81">
        <v>88</v>
      </c>
      <c r="F137" s="270">
        <v>1132500</v>
      </c>
      <c r="G137" s="270" t="s">
        <v>558</v>
      </c>
      <c r="H137" s="81"/>
      <c r="I137" s="81"/>
      <c r="J137" s="81"/>
      <c r="K137" s="81"/>
      <c r="L137" s="81"/>
      <c r="M137" s="81"/>
      <c r="N137" s="83"/>
      <c r="O137" s="709"/>
      <c r="P137" s="232"/>
      <c r="Q137" s="82"/>
    </row>
    <row r="138" spans="1:17">
      <c r="A138" s="747"/>
      <c r="B138" s="731"/>
      <c r="C138" s="324">
        <v>46199</v>
      </c>
      <c r="D138" s="78">
        <v>46219</v>
      </c>
      <c r="E138" s="81">
        <v>88</v>
      </c>
      <c r="F138" s="270">
        <v>1133679</v>
      </c>
      <c r="G138" s="270" t="s">
        <v>559</v>
      </c>
      <c r="H138" s="81"/>
      <c r="I138" s="81"/>
      <c r="J138" s="81"/>
      <c r="K138" s="81"/>
      <c r="L138" s="81"/>
      <c r="M138" s="81"/>
      <c r="N138" s="83"/>
      <c r="O138" s="709"/>
      <c r="P138" s="232"/>
      <c r="Q138" s="82"/>
    </row>
    <row r="139" spans="1:17">
      <c r="A139" s="747"/>
      <c r="B139" s="731"/>
      <c r="C139" s="324">
        <v>46199</v>
      </c>
      <c r="D139" s="78">
        <v>46219</v>
      </c>
      <c r="E139" s="81">
        <v>88</v>
      </c>
      <c r="F139" s="270">
        <v>3269302</v>
      </c>
      <c r="G139" s="270" t="s">
        <v>560</v>
      </c>
      <c r="H139" s="81"/>
      <c r="I139" s="81"/>
      <c r="J139" s="81"/>
      <c r="K139" s="81"/>
      <c r="L139" s="81"/>
      <c r="M139" s="81"/>
      <c r="N139" s="83"/>
      <c r="O139" s="709"/>
      <c r="P139" s="232"/>
      <c r="Q139" s="82"/>
    </row>
    <row r="140" spans="1:17">
      <c r="A140" s="747"/>
      <c r="B140" s="731"/>
      <c r="C140" s="324">
        <v>46199</v>
      </c>
      <c r="D140" s="78">
        <v>46219</v>
      </c>
      <c r="E140" s="81">
        <v>88</v>
      </c>
      <c r="F140" s="270">
        <v>3269303</v>
      </c>
      <c r="G140" s="270" t="s">
        <v>561</v>
      </c>
      <c r="H140" s="81"/>
      <c r="I140" s="81"/>
      <c r="J140" s="81"/>
      <c r="K140" s="81"/>
      <c r="L140" s="81"/>
      <c r="M140" s="81"/>
      <c r="N140" s="83"/>
      <c r="O140" s="709"/>
      <c r="P140" s="232"/>
      <c r="Q140" s="82"/>
    </row>
    <row r="141" spans="1:17">
      <c r="A141" s="747"/>
      <c r="B141" s="731"/>
      <c r="C141" s="324">
        <v>46199</v>
      </c>
      <c r="D141" s="78">
        <v>46219</v>
      </c>
      <c r="E141" s="81">
        <v>88</v>
      </c>
      <c r="F141" s="270">
        <v>3269304</v>
      </c>
      <c r="G141" s="270" t="s">
        <v>562</v>
      </c>
      <c r="H141" s="81"/>
      <c r="I141" s="81"/>
      <c r="J141" s="81"/>
      <c r="K141" s="81"/>
      <c r="L141" s="81"/>
      <c r="M141" s="81"/>
      <c r="N141" s="83"/>
      <c r="O141" s="709"/>
      <c r="P141" s="232"/>
      <c r="Q141" s="82"/>
    </row>
    <row r="142" spans="1:17">
      <c r="A142" s="747"/>
      <c r="B142" s="731"/>
      <c r="C142" s="324">
        <v>46199</v>
      </c>
      <c r="D142" s="78">
        <v>46219</v>
      </c>
      <c r="E142" s="81">
        <v>88</v>
      </c>
      <c r="F142" s="270">
        <v>3269305</v>
      </c>
      <c r="G142" s="270" t="s">
        <v>563</v>
      </c>
      <c r="H142" s="81"/>
      <c r="I142" s="81"/>
      <c r="J142" s="81"/>
      <c r="K142" s="81"/>
      <c r="L142" s="81"/>
      <c r="M142" s="81"/>
      <c r="N142" s="83"/>
      <c r="O142" s="734"/>
      <c r="P142" s="232"/>
      <c r="Q142" s="82"/>
    </row>
    <row r="143" spans="1:17">
      <c r="A143" s="747"/>
      <c r="B143" s="739" t="s">
        <v>71</v>
      </c>
      <c r="C143" s="324">
        <v>46199</v>
      </c>
      <c r="D143" s="78">
        <v>46219</v>
      </c>
      <c r="E143" s="81">
        <v>88</v>
      </c>
      <c r="F143" s="270">
        <v>3690266</v>
      </c>
      <c r="G143" s="270" t="s">
        <v>564</v>
      </c>
      <c r="H143" s="81"/>
      <c r="I143" s="81"/>
      <c r="J143" s="81"/>
      <c r="K143" s="81"/>
      <c r="L143" s="81"/>
      <c r="M143" s="81"/>
      <c r="N143" s="83"/>
      <c r="O143" s="282">
        <v>39900</v>
      </c>
      <c r="P143" s="232"/>
      <c r="Q143" s="82"/>
    </row>
    <row r="144" spans="1:17">
      <c r="A144" s="747"/>
      <c r="B144" s="731"/>
      <c r="C144" s="323">
        <v>46199</v>
      </c>
      <c r="D144" s="138">
        <v>46219</v>
      </c>
      <c r="E144" s="94">
        <v>88</v>
      </c>
      <c r="F144" s="285">
        <v>3573360</v>
      </c>
      <c r="G144" s="285" t="s">
        <v>565</v>
      </c>
      <c r="H144" s="94"/>
      <c r="I144" s="94"/>
      <c r="J144" s="94"/>
      <c r="K144" s="94"/>
      <c r="L144" s="94"/>
      <c r="M144" s="94"/>
      <c r="N144" s="95"/>
      <c r="O144" s="287">
        <v>39900</v>
      </c>
      <c r="P144" s="183"/>
      <c r="Q144" s="119"/>
    </row>
    <row r="145" spans="1:17">
      <c r="A145" s="747"/>
      <c r="B145" s="210"/>
      <c r="C145" s="174"/>
      <c r="D145" s="160"/>
      <c r="E145" s="161"/>
      <c r="F145" s="162"/>
      <c r="G145" s="167" t="s">
        <v>566</v>
      </c>
      <c r="H145" s="161"/>
      <c r="I145" s="161"/>
      <c r="J145" s="161"/>
      <c r="K145" s="161"/>
      <c r="L145" s="161"/>
      <c r="M145" s="161"/>
      <c r="N145" s="163"/>
      <c r="O145" s="164"/>
      <c r="P145" s="262"/>
      <c r="Q145" s="134"/>
    </row>
    <row r="146" spans="1:17">
      <c r="A146" s="747"/>
      <c r="B146" s="331" t="s">
        <v>71</v>
      </c>
      <c r="C146" s="323">
        <v>46199</v>
      </c>
      <c r="D146" s="138">
        <v>46219</v>
      </c>
      <c r="E146" s="94">
        <v>88</v>
      </c>
      <c r="F146" s="294" t="s">
        <v>528</v>
      </c>
      <c r="G146" s="206" t="s">
        <v>567</v>
      </c>
      <c r="H146" s="94"/>
      <c r="I146" s="94"/>
      <c r="J146" s="94"/>
      <c r="K146" s="94"/>
      <c r="L146" s="94"/>
      <c r="M146" s="94"/>
      <c r="N146" s="95"/>
      <c r="O146" s="114">
        <v>0.25</v>
      </c>
      <c r="P146" s="183"/>
      <c r="Q146" s="119"/>
    </row>
    <row r="147" spans="1:17">
      <c r="A147" s="735" t="s">
        <v>568</v>
      </c>
      <c r="B147" s="160"/>
      <c r="C147" s="174"/>
      <c r="D147" s="160"/>
      <c r="E147" s="161"/>
      <c r="F147" s="295" t="s">
        <v>54</v>
      </c>
      <c r="G147" s="295" t="s">
        <v>569</v>
      </c>
      <c r="H147" s="161"/>
      <c r="I147" s="161"/>
      <c r="J147" s="161"/>
      <c r="K147" s="161"/>
      <c r="L147" s="161"/>
      <c r="M147" s="161"/>
      <c r="N147" s="163"/>
      <c r="O147" s="296" t="s">
        <v>54</v>
      </c>
      <c r="P147" s="262"/>
      <c r="Q147" s="134"/>
    </row>
    <row r="148" spans="1:17">
      <c r="A148" s="735"/>
      <c r="B148" s="77"/>
      <c r="C148" s="323">
        <v>46199</v>
      </c>
      <c r="D148" s="138">
        <v>46219</v>
      </c>
      <c r="E148" s="81">
        <v>88</v>
      </c>
      <c r="F148" s="291">
        <v>859980</v>
      </c>
      <c r="G148" s="291" t="s">
        <v>509</v>
      </c>
      <c r="H148" s="81"/>
      <c r="I148" s="81"/>
      <c r="J148" s="81"/>
      <c r="K148" s="81"/>
      <c r="L148" s="81"/>
      <c r="M148" s="81"/>
      <c r="N148" s="83"/>
      <c r="O148" s="737" t="s">
        <v>74</v>
      </c>
      <c r="P148" s="232"/>
      <c r="Q148" s="82"/>
    </row>
    <row r="149" spans="1:17">
      <c r="A149" s="735"/>
      <c r="B149" s="410"/>
      <c r="C149" s="323">
        <v>46199</v>
      </c>
      <c r="D149" s="138">
        <v>46219</v>
      </c>
      <c r="E149" s="81">
        <v>88</v>
      </c>
      <c r="F149" s="291">
        <v>139033</v>
      </c>
      <c r="G149" s="291" t="s">
        <v>511</v>
      </c>
      <c r="H149" s="81"/>
      <c r="I149" s="81"/>
      <c r="J149" s="81"/>
      <c r="K149" s="81"/>
      <c r="L149" s="81"/>
      <c r="M149" s="81"/>
      <c r="N149" s="83"/>
      <c r="O149" s="737"/>
      <c r="P149" s="232"/>
      <c r="Q149" s="82"/>
    </row>
    <row r="150" spans="1:17">
      <c r="A150" s="735"/>
      <c r="B150" s="77"/>
      <c r="C150" s="323">
        <v>46199</v>
      </c>
      <c r="D150" s="138">
        <v>46219</v>
      </c>
      <c r="E150" s="81">
        <v>88</v>
      </c>
      <c r="F150" s="291">
        <v>517237</v>
      </c>
      <c r="G150" s="291" t="s">
        <v>512</v>
      </c>
      <c r="H150" s="81"/>
      <c r="I150" s="81"/>
      <c r="J150" s="81"/>
      <c r="K150" s="81"/>
      <c r="L150" s="81"/>
      <c r="M150" s="81"/>
      <c r="N150" s="83"/>
      <c r="O150" s="737"/>
      <c r="P150" s="232"/>
      <c r="Q150" s="82"/>
    </row>
    <row r="151" spans="1:17">
      <c r="A151" s="735"/>
      <c r="B151" s="174"/>
      <c r="C151" s="174"/>
      <c r="D151" s="160"/>
      <c r="E151" s="161"/>
      <c r="F151" s="295" t="s">
        <v>54</v>
      </c>
      <c r="G151" s="295" t="s">
        <v>570</v>
      </c>
      <c r="H151" s="161"/>
      <c r="I151" s="161"/>
      <c r="J151" s="161"/>
      <c r="K151" s="161"/>
      <c r="L151" s="161"/>
      <c r="M151" s="161"/>
      <c r="N151" s="163"/>
      <c r="O151" s="296" t="s">
        <v>54</v>
      </c>
      <c r="P151" s="262"/>
      <c r="Q151" s="134"/>
    </row>
    <row r="152" spans="1:17">
      <c r="A152" s="735"/>
      <c r="B152" s="649" t="s">
        <v>130</v>
      </c>
      <c r="C152" s="323">
        <v>46199</v>
      </c>
      <c r="D152" s="138">
        <v>46219</v>
      </c>
      <c r="E152" s="81">
        <v>88</v>
      </c>
      <c r="F152" s="291">
        <v>750802</v>
      </c>
      <c r="G152" s="291" t="s">
        <v>500</v>
      </c>
      <c r="H152" s="81"/>
      <c r="I152" s="81"/>
      <c r="J152" s="81"/>
      <c r="K152" s="81"/>
      <c r="L152" s="81"/>
      <c r="M152" s="81"/>
      <c r="N152" s="83"/>
      <c r="O152" s="292">
        <v>4900</v>
      </c>
      <c r="P152" s="232"/>
      <c r="Q152" s="82"/>
    </row>
    <row r="153" spans="1:17">
      <c r="A153" s="735"/>
      <c r="B153" s="651"/>
      <c r="C153" s="323">
        <v>46199</v>
      </c>
      <c r="D153" s="138">
        <v>46219</v>
      </c>
      <c r="E153" s="81">
        <v>88</v>
      </c>
      <c r="F153" s="291">
        <v>750824</v>
      </c>
      <c r="G153" s="291" t="s">
        <v>502</v>
      </c>
      <c r="H153" s="81"/>
      <c r="I153" s="81"/>
      <c r="J153" s="81"/>
      <c r="K153" s="81"/>
      <c r="L153" s="81"/>
      <c r="M153" s="81"/>
      <c r="N153" s="83"/>
      <c r="O153" s="292">
        <v>4900</v>
      </c>
      <c r="P153" s="232"/>
      <c r="Q153" s="82"/>
    </row>
    <row r="154" spans="1:17">
      <c r="A154" s="735"/>
      <c r="B154" s="650"/>
      <c r="C154" s="323">
        <v>46199</v>
      </c>
      <c r="D154" s="138">
        <v>46219</v>
      </c>
      <c r="E154" s="81">
        <v>88</v>
      </c>
      <c r="F154" s="291">
        <v>1231202</v>
      </c>
      <c r="G154" s="291" t="s">
        <v>571</v>
      </c>
      <c r="H154" s="81"/>
      <c r="I154" s="81"/>
      <c r="J154" s="81"/>
      <c r="K154" s="81"/>
      <c r="L154" s="81"/>
      <c r="M154" s="81"/>
      <c r="N154" s="83"/>
      <c r="O154" s="292">
        <v>9900</v>
      </c>
      <c r="P154" s="232"/>
      <c r="Q154" s="82"/>
    </row>
    <row r="155" spans="1:17">
      <c r="A155" s="735"/>
      <c r="B155" s="174"/>
      <c r="C155" s="174"/>
      <c r="D155" s="160"/>
      <c r="E155" s="161"/>
      <c r="F155" s="295" t="s">
        <v>54</v>
      </c>
      <c r="G155" s="295" t="s">
        <v>572</v>
      </c>
      <c r="H155" s="161"/>
      <c r="I155" s="161"/>
      <c r="J155" s="161"/>
      <c r="K155" s="161"/>
      <c r="L155" s="161"/>
      <c r="M155" s="161"/>
      <c r="N155" s="163"/>
      <c r="O155" s="296" t="s">
        <v>54</v>
      </c>
      <c r="P155" s="262"/>
      <c r="Q155" s="134"/>
    </row>
    <row r="156" spans="1:17">
      <c r="A156" s="735"/>
      <c r="B156" s="77"/>
      <c r="C156" s="323">
        <v>46199</v>
      </c>
      <c r="D156" s="138">
        <v>46219</v>
      </c>
      <c r="E156" s="81">
        <v>88</v>
      </c>
      <c r="F156" s="291">
        <v>282811</v>
      </c>
      <c r="G156" s="291" t="s">
        <v>532</v>
      </c>
      <c r="H156" s="81"/>
      <c r="I156" s="81"/>
      <c r="J156" s="81"/>
      <c r="K156" s="81"/>
      <c r="L156" s="81"/>
      <c r="M156" s="81"/>
      <c r="N156" s="83"/>
      <c r="O156" s="738">
        <v>0.3</v>
      </c>
      <c r="P156" s="232"/>
      <c r="Q156" s="82"/>
    </row>
    <row r="157" spans="1:17">
      <c r="A157" s="735"/>
      <c r="B157" s="77"/>
      <c r="C157" s="323">
        <v>46199</v>
      </c>
      <c r="D157" s="138">
        <v>46219</v>
      </c>
      <c r="E157" s="81">
        <v>88</v>
      </c>
      <c r="F157" s="291">
        <v>272418</v>
      </c>
      <c r="G157" s="291" t="s">
        <v>533</v>
      </c>
      <c r="H157" s="81"/>
      <c r="I157" s="81"/>
      <c r="J157" s="81"/>
      <c r="K157" s="81"/>
      <c r="L157" s="81"/>
      <c r="M157" s="81"/>
      <c r="N157" s="83"/>
      <c r="O157" s="737"/>
      <c r="P157" s="232"/>
      <c r="Q157" s="82"/>
    </row>
    <row r="158" spans="1:17">
      <c r="A158" s="735"/>
      <c r="B158" s="77"/>
      <c r="C158" s="323">
        <v>46199</v>
      </c>
      <c r="D158" s="138">
        <v>46219</v>
      </c>
      <c r="E158" s="81">
        <v>88</v>
      </c>
      <c r="F158" s="291">
        <v>636902</v>
      </c>
      <c r="G158" s="291" t="s">
        <v>534</v>
      </c>
      <c r="H158" s="81"/>
      <c r="I158" s="81"/>
      <c r="J158" s="81"/>
      <c r="K158" s="81"/>
      <c r="L158" s="81"/>
      <c r="M158" s="81"/>
      <c r="N158" s="83"/>
      <c r="O158" s="737"/>
      <c r="P158" s="232"/>
      <c r="Q158" s="82"/>
    </row>
    <row r="159" spans="1:17">
      <c r="A159" s="735"/>
      <c r="B159" s="77"/>
      <c r="C159" s="323">
        <v>46199</v>
      </c>
      <c r="D159" s="138">
        <v>46219</v>
      </c>
      <c r="E159" s="81">
        <v>88</v>
      </c>
      <c r="F159" s="291">
        <v>3706359</v>
      </c>
      <c r="G159" s="291" t="s">
        <v>535</v>
      </c>
      <c r="H159" s="81"/>
      <c r="I159" s="81"/>
      <c r="J159" s="81"/>
      <c r="K159" s="81"/>
      <c r="L159" s="81"/>
      <c r="M159" s="81"/>
      <c r="N159" s="83"/>
      <c r="O159" s="737"/>
      <c r="P159" s="232"/>
      <c r="Q159" s="82"/>
    </row>
    <row r="160" spans="1:17">
      <c r="A160" s="735"/>
      <c r="B160" s="77"/>
      <c r="C160" s="323">
        <v>46199</v>
      </c>
      <c r="D160" s="138">
        <v>46219</v>
      </c>
      <c r="E160" s="81">
        <v>88</v>
      </c>
      <c r="F160" s="291">
        <v>333315</v>
      </c>
      <c r="G160" s="291" t="s">
        <v>536</v>
      </c>
      <c r="H160" s="81"/>
      <c r="I160" s="81"/>
      <c r="J160" s="81"/>
      <c r="K160" s="81"/>
      <c r="L160" s="81"/>
      <c r="M160" s="81"/>
      <c r="N160" s="83"/>
      <c r="O160" s="737"/>
      <c r="P160" s="232"/>
      <c r="Q160" s="82"/>
    </row>
    <row r="161" spans="1:17">
      <c r="A161" s="735"/>
      <c r="B161" s="77"/>
      <c r="C161" s="323">
        <v>46199</v>
      </c>
      <c r="D161" s="138">
        <v>46219</v>
      </c>
      <c r="E161" s="81">
        <v>88</v>
      </c>
      <c r="F161" s="291">
        <v>435987</v>
      </c>
      <c r="G161" s="291" t="s">
        <v>537</v>
      </c>
      <c r="H161" s="81"/>
      <c r="I161" s="81"/>
      <c r="J161" s="81"/>
      <c r="K161" s="81"/>
      <c r="L161" s="81"/>
      <c r="M161" s="81"/>
      <c r="N161" s="83"/>
      <c r="O161" s="737"/>
      <c r="P161" s="232"/>
      <c r="Q161" s="82"/>
    </row>
    <row r="162" spans="1:17">
      <c r="A162" s="735"/>
      <c r="B162" s="77"/>
      <c r="C162" s="323">
        <v>46199</v>
      </c>
      <c r="D162" s="138">
        <v>46219</v>
      </c>
      <c r="E162" s="81">
        <v>88</v>
      </c>
      <c r="F162" s="291">
        <v>3706358</v>
      </c>
      <c r="G162" s="291" t="s">
        <v>538</v>
      </c>
      <c r="H162" s="81"/>
      <c r="I162" s="81"/>
      <c r="J162" s="81"/>
      <c r="K162" s="81"/>
      <c r="L162" s="81"/>
      <c r="M162" s="81"/>
      <c r="N162" s="83"/>
      <c r="O162" s="737"/>
      <c r="P162" s="232"/>
      <c r="Q162" s="82"/>
    </row>
    <row r="163" spans="1:17">
      <c r="A163" s="735"/>
      <c r="B163" s="77"/>
      <c r="C163" s="323">
        <v>46199</v>
      </c>
      <c r="D163" s="138">
        <v>46219</v>
      </c>
      <c r="E163" s="81">
        <v>88</v>
      </c>
      <c r="F163" s="291">
        <v>126092</v>
      </c>
      <c r="G163" s="291" t="s">
        <v>539</v>
      </c>
      <c r="H163" s="81"/>
      <c r="I163" s="81"/>
      <c r="J163" s="81"/>
      <c r="K163" s="81"/>
      <c r="L163" s="81"/>
      <c r="M163" s="81"/>
      <c r="N163" s="83"/>
      <c r="O163" s="737"/>
      <c r="P163" s="232"/>
      <c r="Q163" s="82"/>
    </row>
    <row r="164" spans="1:17">
      <c r="A164" s="735"/>
      <c r="B164" s="77"/>
      <c r="C164" s="323">
        <v>46199</v>
      </c>
      <c r="D164" s="138">
        <v>46219</v>
      </c>
      <c r="E164" s="81">
        <v>88</v>
      </c>
      <c r="F164" s="291">
        <v>596372</v>
      </c>
      <c r="G164" s="291" t="s">
        <v>540</v>
      </c>
      <c r="H164" s="81"/>
      <c r="I164" s="81"/>
      <c r="J164" s="81"/>
      <c r="K164" s="81"/>
      <c r="L164" s="81"/>
      <c r="M164" s="81"/>
      <c r="N164" s="83"/>
      <c r="O164" s="737"/>
      <c r="P164" s="232"/>
      <c r="Q164" s="82"/>
    </row>
    <row r="165" spans="1:17">
      <c r="A165" s="735"/>
      <c r="B165" s="77"/>
      <c r="C165" s="323">
        <v>46199</v>
      </c>
      <c r="D165" s="138">
        <v>46219</v>
      </c>
      <c r="E165" s="81">
        <v>88</v>
      </c>
      <c r="F165" s="291">
        <v>3685321</v>
      </c>
      <c r="G165" s="291" t="s">
        <v>541</v>
      </c>
      <c r="H165" s="81"/>
      <c r="I165" s="81"/>
      <c r="J165" s="81"/>
      <c r="K165" s="81"/>
      <c r="L165" s="81"/>
      <c r="M165" s="81"/>
      <c r="N165" s="83"/>
      <c r="O165" s="737"/>
      <c r="P165" s="232"/>
      <c r="Q165" s="82"/>
    </row>
    <row r="166" spans="1:17">
      <c r="A166" s="735"/>
      <c r="B166" s="77"/>
      <c r="C166" s="323">
        <v>46199</v>
      </c>
      <c r="D166" s="138">
        <v>46219</v>
      </c>
      <c r="E166" s="81">
        <v>88</v>
      </c>
      <c r="F166" s="291">
        <v>698016</v>
      </c>
      <c r="G166" s="291" t="s">
        <v>542</v>
      </c>
      <c r="H166" s="81"/>
      <c r="I166" s="81"/>
      <c r="J166" s="81"/>
      <c r="K166" s="81"/>
      <c r="L166" s="81"/>
      <c r="M166" s="81"/>
      <c r="N166" s="83"/>
      <c r="O166" s="737"/>
      <c r="P166" s="232"/>
      <c r="Q166" s="82"/>
    </row>
    <row r="167" spans="1:17">
      <c r="A167" s="735"/>
      <c r="B167" s="77"/>
      <c r="C167" s="323">
        <v>46199</v>
      </c>
      <c r="D167" s="138">
        <v>46219</v>
      </c>
      <c r="E167" s="81">
        <v>88</v>
      </c>
      <c r="F167" s="291">
        <v>3831112</v>
      </c>
      <c r="G167" s="291" t="s">
        <v>543</v>
      </c>
      <c r="H167" s="81"/>
      <c r="I167" s="81"/>
      <c r="J167" s="81"/>
      <c r="K167" s="81"/>
      <c r="L167" s="81"/>
      <c r="M167" s="81"/>
      <c r="N167" s="83"/>
      <c r="O167" s="737"/>
      <c r="P167" s="232"/>
      <c r="Q167" s="82"/>
    </row>
    <row r="168" spans="1:17">
      <c r="A168" s="735"/>
      <c r="B168" s="174"/>
      <c r="C168" s="174"/>
      <c r="D168" s="160"/>
      <c r="E168" s="161"/>
      <c r="F168" s="297" t="s">
        <v>54</v>
      </c>
      <c r="G168" s="295" t="s">
        <v>544</v>
      </c>
      <c r="H168" s="161"/>
      <c r="I168" s="161"/>
      <c r="J168" s="161"/>
      <c r="K168" s="161"/>
      <c r="L168" s="161"/>
      <c r="M168" s="161"/>
      <c r="N168" s="163"/>
      <c r="O168" s="298" t="s">
        <v>54</v>
      </c>
      <c r="P168" s="262"/>
      <c r="Q168" s="134"/>
    </row>
    <row r="169" spans="1:17">
      <c r="A169" s="735"/>
      <c r="B169" s="77"/>
      <c r="C169" s="323">
        <v>46199</v>
      </c>
      <c r="D169" s="138">
        <v>46219</v>
      </c>
      <c r="E169" s="81">
        <v>88</v>
      </c>
      <c r="F169" s="291">
        <v>1712121</v>
      </c>
      <c r="G169" s="291" t="s">
        <v>545</v>
      </c>
      <c r="H169" s="81"/>
      <c r="I169" s="81"/>
      <c r="J169" s="81"/>
      <c r="K169" s="81"/>
      <c r="L169" s="81"/>
      <c r="M169" s="81"/>
      <c r="N169" s="83"/>
      <c r="O169" s="292">
        <v>14500</v>
      </c>
      <c r="P169" s="232"/>
      <c r="Q169" s="82"/>
    </row>
    <row r="170" spans="1:17">
      <c r="A170" s="735"/>
      <c r="B170" s="77"/>
      <c r="C170" s="323">
        <v>46199</v>
      </c>
      <c r="D170" s="138">
        <v>46219</v>
      </c>
      <c r="E170" s="81">
        <v>88</v>
      </c>
      <c r="F170" s="291">
        <v>1740538</v>
      </c>
      <c r="G170" s="291" t="s">
        <v>546</v>
      </c>
      <c r="H170" s="81"/>
      <c r="I170" s="81"/>
      <c r="J170" s="81"/>
      <c r="K170" s="81"/>
      <c r="L170" s="81"/>
      <c r="M170" s="81"/>
      <c r="N170" s="83"/>
      <c r="O170" s="292">
        <v>14500</v>
      </c>
      <c r="P170" s="232"/>
      <c r="Q170" s="82"/>
    </row>
    <row r="171" spans="1:17">
      <c r="A171" s="735"/>
      <c r="B171" s="77"/>
      <c r="C171" s="323">
        <v>46199</v>
      </c>
      <c r="D171" s="138">
        <v>46219</v>
      </c>
      <c r="E171" s="81">
        <v>88</v>
      </c>
      <c r="F171" s="291">
        <v>3315332</v>
      </c>
      <c r="G171" s="291" t="s">
        <v>547</v>
      </c>
      <c r="H171" s="81"/>
      <c r="I171" s="81"/>
      <c r="J171" s="81"/>
      <c r="K171" s="81"/>
      <c r="L171" s="81"/>
      <c r="M171" s="81"/>
      <c r="N171" s="83"/>
      <c r="O171" s="292">
        <v>14500</v>
      </c>
      <c r="P171" s="232"/>
      <c r="Q171" s="82"/>
    </row>
    <row r="172" spans="1:17">
      <c r="A172" s="735"/>
      <c r="B172" s="77"/>
      <c r="C172" s="323">
        <v>46199</v>
      </c>
      <c r="D172" s="138">
        <v>46219</v>
      </c>
      <c r="E172" s="81">
        <v>88</v>
      </c>
      <c r="F172" s="291">
        <v>3315333</v>
      </c>
      <c r="G172" s="291" t="s">
        <v>548</v>
      </c>
      <c r="H172" s="81"/>
      <c r="I172" s="81"/>
      <c r="J172" s="81"/>
      <c r="K172" s="81"/>
      <c r="L172" s="81"/>
      <c r="M172" s="81"/>
      <c r="N172" s="83"/>
      <c r="O172" s="292">
        <v>14500</v>
      </c>
      <c r="P172" s="232"/>
      <c r="Q172" s="82"/>
    </row>
    <row r="173" spans="1:17">
      <c r="A173" s="735"/>
      <c r="B173" s="174"/>
      <c r="C173" s="174"/>
      <c r="D173" s="160"/>
      <c r="E173" s="161"/>
      <c r="F173" s="299" t="s">
        <v>54</v>
      </c>
      <c r="G173" s="299" t="s">
        <v>573</v>
      </c>
      <c r="H173" s="161"/>
      <c r="I173" s="161"/>
      <c r="J173" s="161"/>
      <c r="K173" s="161"/>
      <c r="L173" s="161"/>
      <c r="M173" s="161"/>
      <c r="N173" s="163"/>
      <c r="O173" s="300" t="s">
        <v>54</v>
      </c>
      <c r="P173" s="262"/>
      <c r="Q173" s="134"/>
    </row>
    <row r="174" spans="1:17" ht="15">
      <c r="A174" s="735"/>
      <c r="B174" s="77"/>
      <c r="C174" s="323">
        <v>46199</v>
      </c>
      <c r="D174" s="138">
        <v>46219</v>
      </c>
      <c r="E174" s="81">
        <v>88</v>
      </c>
      <c r="F174" s="366" t="s">
        <v>528</v>
      </c>
      <c r="G174" s="291" t="s">
        <v>574</v>
      </c>
      <c r="H174" s="81"/>
      <c r="I174" s="81"/>
      <c r="J174" s="81"/>
      <c r="K174" s="81"/>
      <c r="L174" s="81"/>
      <c r="M174" s="81"/>
      <c r="N174" s="83"/>
      <c r="O174" s="293">
        <v>0.3</v>
      </c>
      <c r="P174" s="232"/>
      <c r="Q174" s="521" t="s">
        <v>575</v>
      </c>
    </row>
    <row r="175" spans="1:17">
      <c r="A175" s="735"/>
      <c r="B175" s="174"/>
      <c r="C175" s="174"/>
      <c r="D175" s="160"/>
      <c r="E175" s="161"/>
      <c r="F175" s="295" t="s">
        <v>54</v>
      </c>
      <c r="G175" s="295" t="s">
        <v>549</v>
      </c>
      <c r="H175" s="161"/>
      <c r="I175" s="161"/>
      <c r="J175" s="161"/>
      <c r="K175" s="161"/>
      <c r="L175" s="161"/>
      <c r="M175" s="161"/>
      <c r="N175" s="163"/>
      <c r="O175" s="296" t="s">
        <v>54</v>
      </c>
      <c r="P175" s="262"/>
      <c r="Q175" s="134"/>
    </row>
    <row r="176" spans="1:17">
      <c r="A176" s="735"/>
      <c r="B176" s="77"/>
      <c r="C176" s="323">
        <v>46199</v>
      </c>
      <c r="D176" s="138">
        <v>46219</v>
      </c>
      <c r="E176" s="81">
        <v>88</v>
      </c>
      <c r="F176" s="291">
        <v>1368359</v>
      </c>
      <c r="G176" s="291" t="s">
        <v>550</v>
      </c>
      <c r="H176" s="81"/>
      <c r="I176" s="81"/>
      <c r="J176" s="81"/>
      <c r="K176" s="81"/>
      <c r="L176" s="81"/>
      <c r="M176" s="81"/>
      <c r="N176" s="83"/>
      <c r="O176" s="292">
        <v>15900</v>
      </c>
      <c r="P176" s="232"/>
      <c r="Q176" s="82"/>
    </row>
    <row r="177" spans="1:17">
      <c r="A177" s="735"/>
      <c r="B177" s="77"/>
      <c r="C177" s="323">
        <v>46199</v>
      </c>
      <c r="D177" s="138">
        <v>46219</v>
      </c>
      <c r="E177" s="81">
        <v>88</v>
      </c>
      <c r="F177" s="291">
        <v>1745910</v>
      </c>
      <c r="G177" s="291" t="s">
        <v>551</v>
      </c>
      <c r="H177" s="81"/>
      <c r="I177" s="81"/>
      <c r="J177" s="81"/>
      <c r="K177" s="81"/>
      <c r="L177" s="81"/>
      <c r="M177" s="81"/>
      <c r="N177" s="83"/>
      <c r="O177" s="292">
        <v>15900</v>
      </c>
      <c r="P177" s="232"/>
      <c r="Q177" s="82"/>
    </row>
    <row r="178" spans="1:17">
      <c r="A178" s="735"/>
      <c r="B178" s="77"/>
      <c r="C178" s="323">
        <v>46199</v>
      </c>
      <c r="D178" s="138">
        <v>46219</v>
      </c>
      <c r="E178" s="81">
        <v>88</v>
      </c>
      <c r="F178" s="546">
        <v>3845697</v>
      </c>
      <c r="G178" s="546" t="s">
        <v>552</v>
      </c>
      <c r="H178" s="81"/>
      <c r="I178" s="81"/>
      <c r="J178" s="81"/>
      <c r="K178" s="81"/>
      <c r="L178" s="81"/>
      <c r="M178" s="81"/>
      <c r="N178" s="83"/>
      <c r="O178" s="292">
        <v>23900</v>
      </c>
      <c r="P178" s="232"/>
      <c r="Q178" s="82"/>
    </row>
    <row r="179" spans="1:17">
      <c r="A179" s="735"/>
      <c r="B179" s="174"/>
      <c r="C179" s="174"/>
      <c r="D179" s="160"/>
      <c r="E179" s="161"/>
      <c r="F179" s="295" t="s">
        <v>54</v>
      </c>
      <c r="G179" s="295" t="s">
        <v>553</v>
      </c>
      <c r="H179" s="161"/>
      <c r="I179" s="161"/>
      <c r="J179" s="161"/>
      <c r="K179" s="161"/>
      <c r="L179" s="161"/>
      <c r="M179" s="161"/>
      <c r="N179" s="163"/>
      <c r="O179" s="296" t="s">
        <v>54</v>
      </c>
      <c r="P179" s="262"/>
      <c r="Q179" s="134"/>
    </row>
    <row r="180" spans="1:17">
      <c r="A180" s="735"/>
      <c r="B180" s="77"/>
      <c r="C180" s="323">
        <v>46199</v>
      </c>
      <c r="D180" s="138">
        <v>46219</v>
      </c>
      <c r="E180" s="81">
        <v>88</v>
      </c>
      <c r="F180" s="291">
        <v>1133678</v>
      </c>
      <c r="G180" s="291" t="s">
        <v>554</v>
      </c>
      <c r="H180" s="81"/>
      <c r="I180" s="81"/>
      <c r="J180" s="81"/>
      <c r="K180" s="81"/>
      <c r="L180" s="81"/>
      <c r="M180" s="81"/>
      <c r="N180" s="83"/>
      <c r="O180" s="737" t="s">
        <v>74</v>
      </c>
      <c r="P180" s="232"/>
      <c r="Q180" s="82"/>
    </row>
    <row r="181" spans="1:17">
      <c r="A181" s="735"/>
      <c r="B181" s="77"/>
      <c r="C181" s="323">
        <v>46199</v>
      </c>
      <c r="D181" s="138">
        <v>46219</v>
      </c>
      <c r="E181" s="81">
        <v>88</v>
      </c>
      <c r="F181" s="291">
        <v>1133679</v>
      </c>
      <c r="G181" s="291" t="s">
        <v>555</v>
      </c>
      <c r="H181" s="81"/>
      <c r="I181" s="81"/>
      <c r="J181" s="81"/>
      <c r="K181" s="81"/>
      <c r="L181" s="81"/>
      <c r="M181" s="81"/>
      <c r="N181" s="83"/>
      <c r="O181" s="737"/>
      <c r="P181" s="232"/>
      <c r="Q181" s="82"/>
    </row>
    <row r="182" spans="1:17">
      <c r="A182" s="735"/>
      <c r="B182" s="77"/>
      <c r="C182" s="323">
        <v>46199</v>
      </c>
      <c r="D182" s="138">
        <v>46219</v>
      </c>
      <c r="E182" s="81">
        <v>88</v>
      </c>
      <c r="F182" s="291">
        <v>1132498</v>
      </c>
      <c r="G182" s="291" t="s">
        <v>556</v>
      </c>
      <c r="H182" s="81"/>
      <c r="I182" s="81"/>
      <c r="J182" s="81"/>
      <c r="K182" s="81"/>
      <c r="L182" s="81"/>
      <c r="M182" s="81"/>
      <c r="N182" s="83"/>
      <c r="O182" s="737"/>
      <c r="P182" s="232"/>
      <c r="Q182" s="82"/>
    </row>
    <row r="183" spans="1:17">
      <c r="A183" s="735"/>
      <c r="B183" s="77"/>
      <c r="C183" s="323">
        <v>46199</v>
      </c>
      <c r="D183" s="138">
        <v>46219</v>
      </c>
      <c r="E183" s="81">
        <v>88</v>
      </c>
      <c r="F183" s="291">
        <v>1132499</v>
      </c>
      <c r="G183" s="291" t="s">
        <v>557</v>
      </c>
      <c r="H183" s="81"/>
      <c r="I183" s="81"/>
      <c r="J183" s="81"/>
      <c r="K183" s="81"/>
      <c r="L183" s="81"/>
      <c r="M183" s="81"/>
      <c r="N183" s="83"/>
      <c r="O183" s="737"/>
      <c r="P183" s="232"/>
      <c r="Q183" s="82"/>
    </row>
    <row r="184" spans="1:17">
      <c r="A184" s="735"/>
      <c r="B184" s="77"/>
      <c r="C184" s="323">
        <v>46199</v>
      </c>
      <c r="D184" s="138">
        <v>46219</v>
      </c>
      <c r="E184" s="81">
        <v>88</v>
      </c>
      <c r="F184" s="291">
        <v>1132500</v>
      </c>
      <c r="G184" s="291" t="s">
        <v>558</v>
      </c>
      <c r="H184" s="81"/>
      <c r="I184" s="81"/>
      <c r="J184" s="81"/>
      <c r="K184" s="81"/>
      <c r="L184" s="81"/>
      <c r="M184" s="81"/>
      <c r="N184" s="83"/>
      <c r="O184" s="737"/>
      <c r="P184" s="232"/>
      <c r="Q184" s="82"/>
    </row>
    <row r="185" spans="1:17">
      <c r="A185" s="735"/>
      <c r="B185" s="77"/>
      <c r="C185" s="323">
        <v>46199</v>
      </c>
      <c r="D185" s="138">
        <v>46219</v>
      </c>
      <c r="E185" s="81">
        <v>88</v>
      </c>
      <c r="F185" s="291">
        <v>1133679</v>
      </c>
      <c r="G185" s="291" t="s">
        <v>559</v>
      </c>
      <c r="H185" s="81"/>
      <c r="I185" s="81"/>
      <c r="J185" s="81"/>
      <c r="K185" s="81"/>
      <c r="L185" s="81"/>
      <c r="M185" s="81"/>
      <c r="N185" s="83"/>
      <c r="O185" s="737"/>
      <c r="P185" s="232"/>
      <c r="Q185" s="82"/>
    </row>
    <row r="186" spans="1:17">
      <c r="A186" s="735"/>
      <c r="B186" s="77"/>
      <c r="C186" s="323">
        <v>46199</v>
      </c>
      <c r="D186" s="138">
        <v>46219</v>
      </c>
      <c r="E186" s="81">
        <v>88</v>
      </c>
      <c r="F186" s="291">
        <v>3269302</v>
      </c>
      <c r="G186" s="291" t="s">
        <v>560</v>
      </c>
      <c r="H186" s="81"/>
      <c r="I186" s="81"/>
      <c r="J186" s="81"/>
      <c r="K186" s="81"/>
      <c r="L186" s="81"/>
      <c r="M186" s="81"/>
      <c r="N186" s="83"/>
      <c r="O186" s="737"/>
      <c r="P186" s="232"/>
      <c r="Q186" s="82"/>
    </row>
    <row r="187" spans="1:17">
      <c r="A187" s="735"/>
      <c r="B187" s="77"/>
      <c r="C187" s="323">
        <v>46199</v>
      </c>
      <c r="D187" s="138">
        <v>46219</v>
      </c>
      <c r="E187" s="81">
        <v>88</v>
      </c>
      <c r="F187" s="291">
        <v>3269303</v>
      </c>
      <c r="G187" s="291" t="s">
        <v>561</v>
      </c>
      <c r="H187" s="81"/>
      <c r="I187" s="81"/>
      <c r="J187" s="81"/>
      <c r="K187" s="81"/>
      <c r="L187" s="81"/>
      <c r="M187" s="81"/>
      <c r="N187" s="83"/>
      <c r="O187" s="737"/>
      <c r="P187" s="232"/>
      <c r="Q187" s="82"/>
    </row>
    <row r="188" spans="1:17">
      <c r="A188" s="735"/>
      <c r="B188" s="77"/>
      <c r="C188" s="323">
        <v>46199</v>
      </c>
      <c r="D188" s="138">
        <v>46219</v>
      </c>
      <c r="E188" s="81">
        <v>88</v>
      </c>
      <c r="F188" s="291">
        <v>3269304</v>
      </c>
      <c r="G188" s="291" t="s">
        <v>562</v>
      </c>
      <c r="H188" s="81"/>
      <c r="I188" s="81"/>
      <c r="J188" s="81"/>
      <c r="K188" s="81"/>
      <c r="L188" s="81"/>
      <c r="M188" s="81"/>
      <c r="N188" s="83"/>
      <c r="O188" s="737"/>
      <c r="P188" s="232"/>
      <c r="Q188" s="82"/>
    </row>
    <row r="189" spans="1:17">
      <c r="A189" s="735"/>
      <c r="B189" s="77"/>
      <c r="C189" s="323">
        <v>46199</v>
      </c>
      <c r="D189" s="138">
        <v>46219</v>
      </c>
      <c r="E189" s="81">
        <v>88</v>
      </c>
      <c r="F189" s="291">
        <v>3269305</v>
      </c>
      <c r="G189" s="291" t="s">
        <v>563</v>
      </c>
      <c r="H189" s="81"/>
      <c r="I189" s="81"/>
      <c r="J189" s="81"/>
      <c r="K189" s="81"/>
      <c r="L189" s="81"/>
      <c r="M189" s="81"/>
      <c r="N189" s="83"/>
      <c r="O189" s="737"/>
      <c r="P189" s="232"/>
      <c r="Q189" s="82"/>
    </row>
    <row r="190" spans="1:17">
      <c r="A190" s="735"/>
      <c r="B190" s="77"/>
      <c r="C190" s="323">
        <v>46199</v>
      </c>
      <c r="D190" s="138">
        <v>46219</v>
      </c>
      <c r="E190" s="81">
        <v>88</v>
      </c>
      <c r="F190" s="291">
        <v>3690266</v>
      </c>
      <c r="G190" s="291" t="s">
        <v>564</v>
      </c>
      <c r="H190" s="81"/>
      <c r="I190" s="81"/>
      <c r="J190" s="81"/>
      <c r="K190" s="81"/>
      <c r="L190" s="81"/>
      <c r="M190" s="81"/>
      <c r="N190" s="83"/>
      <c r="O190" s="292">
        <v>39900</v>
      </c>
      <c r="P190" s="232"/>
      <c r="Q190" s="82"/>
    </row>
    <row r="191" spans="1:17">
      <c r="A191" s="736"/>
      <c r="B191" s="358"/>
      <c r="C191" s="323">
        <v>46199</v>
      </c>
      <c r="D191" s="138">
        <v>46219</v>
      </c>
      <c r="E191" s="100">
        <v>88</v>
      </c>
      <c r="F191" s="359">
        <v>3573360</v>
      </c>
      <c r="G191" s="359" t="s">
        <v>565</v>
      </c>
      <c r="H191" s="94"/>
      <c r="I191" s="94"/>
      <c r="J191" s="94"/>
      <c r="K191" s="94"/>
      <c r="L191" s="94"/>
      <c r="M191" s="94"/>
      <c r="N191" s="95"/>
      <c r="O191" s="360">
        <v>39900</v>
      </c>
      <c r="P191" s="183"/>
      <c r="Q191" s="119"/>
    </row>
    <row r="192" spans="1:17">
      <c r="A192" s="77"/>
      <c r="B192" s="732" t="s">
        <v>576</v>
      </c>
      <c r="C192" s="732"/>
      <c r="D192" s="732"/>
      <c r="E192" s="732"/>
      <c r="F192" s="732"/>
      <c r="G192" s="732"/>
      <c r="H192" s="732"/>
      <c r="I192" s="732"/>
      <c r="J192" s="732"/>
      <c r="K192" s="732"/>
      <c r="L192" s="732"/>
      <c r="M192" s="732"/>
      <c r="N192" s="732"/>
      <c r="O192" s="732"/>
      <c r="P192" s="732"/>
      <c r="Q192" s="356"/>
    </row>
    <row r="193" spans="1:17">
      <c r="A193" s="77"/>
      <c r="B193" s="369"/>
      <c r="C193" s="323">
        <v>46200</v>
      </c>
      <c r="D193" s="138">
        <v>46219</v>
      </c>
      <c r="E193" s="370"/>
      <c r="F193" s="370"/>
      <c r="G193" s="387" t="s">
        <v>577</v>
      </c>
      <c r="H193" s="370"/>
      <c r="I193" s="370"/>
      <c r="J193" s="370"/>
      <c r="K193" s="370"/>
      <c r="L193" s="370"/>
      <c r="M193" s="370"/>
      <c r="N193" s="370"/>
      <c r="O193" s="370"/>
      <c r="P193" s="370"/>
      <c r="Q193" s="82"/>
    </row>
    <row r="194" spans="1:17">
      <c r="A194" s="77"/>
      <c r="B194" s="380"/>
      <c r="C194" s="381"/>
      <c r="D194" s="381"/>
      <c r="E194" s="381"/>
      <c r="F194" s="381"/>
      <c r="G194" s="381" t="s">
        <v>137</v>
      </c>
      <c r="H194" s="381"/>
      <c r="I194" s="381"/>
      <c r="J194" s="381"/>
      <c r="K194" s="381"/>
      <c r="L194" s="381"/>
      <c r="M194" s="381"/>
      <c r="N194" s="381"/>
      <c r="O194" s="381"/>
      <c r="P194" s="381"/>
      <c r="Q194" s="134"/>
    </row>
    <row r="195" spans="1:17" ht="15">
      <c r="A195" s="77"/>
      <c r="B195" s="369"/>
      <c r="C195" s="323">
        <v>46200</v>
      </c>
      <c r="D195" s="138">
        <v>46219</v>
      </c>
      <c r="E195" s="81">
        <v>80</v>
      </c>
      <c r="F195" s="374">
        <v>679494</v>
      </c>
      <c r="G195" s="371" t="s">
        <v>578</v>
      </c>
      <c r="H195" s="370"/>
      <c r="I195" s="370"/>
      <c r="J195" s="370"/>
      <c r="K195" s="370"/>
      <c r="L195" s="370"/>
      <c r="M195" s="370"/>
      <c r="N195" s="535" t="s">
        <v>57</v>
      </c>
      <c r="O195" s="352">
        <v>0.25</v>
      </c>
      <c r="P195" s="352">
        <v>0.35</v>
      </c>
      <c r="Q195" s="357" t="s">
        <v>55</v>
      </c>
    </row>
    <row r="196" spans="1:17" ht="15">
      <c r="A196" s="77"/>
      <c r="B196" s="369"/>
      <c r="C196" s="323">
        <v>46200</v>
      </c>
      <c r="D196" s="138">
        <v>46219</v>
      </c>
      <c r="E196" s="81">
        <v>80</v>
      </c>
      <c r="F196" s="373">
        <v>1865212</v>
      </c>
      <c r="G196" s="303" t="s">
        <v>579</v>
      </c>
      <c r="H196" s="370"/>
      <c r="I196" s="370"/>
      <c r="J196" s="370"/>
      <c r="K196" s="370"/>
      <c r="L196" s="370"/>
      <c r="M196" s="370"/>
      <c r="N196" s="83" t="s">
        <v>57</v>
      </c>
      <c r="O196" s="352">
        <v>0.25</v>
      </c>
      <c r="P196" s="352">
        <v>0.35</v>
      </c>
      <c r="Q196" s="357" t="s">
        <v>55</v>
      </c>
    </row>
    <row r="197" spans="1:17" ht="15">
      <c r="A197" s="77"/>
      <c r="B197" s="369"/>
      <c r="C197" s="323">
        <v>46200</v>
      </c>
      <c r="D197" s="138">
        <v>46219</v>
      </c>
      <c r="E197" s="81">
        <v>80</v>
      </c>
      <c r="F197" s="373">
        <v>3460619</v>
      </c>
      <c r="G197" s="303" t="s">
        <v>580</v>
      </c>
      <c r="H197" s="370"/>
      <c r="I197" s="370"/>
      <c r="J197" s="370"/>
      <c r="K197" s="370"/>
      <c r="L197" s="370"/>
      <c r="M197" s="370"/>
      <c r="N197" s="83" t="s">
        <v>57</v>
      </c>
      <c r="O197" s="352">
        <v>0.25</v>
      </c>
      <c r="P197" s="352">
        <v>0.35</v>
      </c>
      <c r="Q197" s="357" t="s">
        <v>55</v>
      </c>
    </row>
    <row r="198" spans="1:17" ht="15">
      <c r="A198" s="77"/>
      <c r="B198" s="369"/>
      <c r="C198" s="323">
        <v>46200</v>
      </c>
      <c r="D198" s="138">
        <v>46219</v>
      </c>
      <c r="E198" s="81">
        <v>80</v>
      </c>
      <c r="F198" s="373">
        <v>3165440</v>
      </c>
      <c r="G198" s="303" t="s">
        <v>581</v>
      </c>
      <c r="H198" s="370"/>
      <c r="I198" s="370"/>
      <c r="J198" s="370"/>
      <c r="K198" s="370"/>
      <c r="L198" s="370"/>
      <c r="M198" s="370"/>
      <c r="N198" s="535" t="s">
        <v>57</v>
      </c>
      <c r="O198" s="352">
        <v>0.25</v>
      </c>
      <c r="P198" s="352">
        <v>0.35</v>
      </c>
      <c r="Q198" s="357" t="s">
        <v>55</v>
      </c>
    </row>
    <row r="199" spans="1:17" ht="15">
      <c r="A199" s="77"/>
      <c r="B199" s="369"/>
      <c r="C199" s="323">
        <v>46200</v>
      </c>
      <c r="D199" s="138">
        <v>46219</v>
      </c>
      <c r="E199" s="81">
        <v>80</v>
      </c>
      <c r="F199" s="373">
        <v>3406243</v>
      </c>
      <c r="G199" s="303" t="s">
        <v>582</v>
      </c>
      <c r="H199" s="370"/>
      <c r="I199" s="370"/>
      <c r="J199" s="370"/>
      <c r="K199" s="370"/>
      <c r="L199" s="370"/>
      <c r="M199" s="370"/>
      <c r="N199" s="83" t="s">
        <v>57</v>
      </c>
      <c r="O199" s="352">
        <v>0.25</v>
      </c>
      <c r="P199" s="352">
        <v>0.35</v>
      </c>
      <c r="Q199" s="357" t="s">
        <v>55</v>
      </c>
    </row>
    <row r="200" spans="1:17" ht="15">
      <c r="A200" s="77"/>
      <c r="B200" s="369"/>
      <c r="C200" s="323">
        <v>46200</v>
      </c>
      <c r="D200" s="138">
        <v>46219</v>
      </c>
      <c r="E200" s="81">
        <v>80</v>
      </c>
      <c r="F200" s="373">
        <v>3341793</v>
      </c>
      <c r="G200" s="303" t="s">
        <v>583</v>
      </c>
      <c r="H200" s="370"/>
      <c r="I200" s="370"/>
      <c r="J200" s="370"/>
      <c r="K200" s="370"/>
      <c r="L200" s="370"/>
      <c r="M200" s="370"/>
      <c r="N200" s="535" t="s">
        <v>57</v>
      </c>
      <c r="O200" s="352">
        <v>0.25</v>
      </c>
      <c r="P200" s="352">
        <v>0.35</v>
      </c>
      <c r="Q200" s="357" t="s">
        <v>55</v>
      </c>
    </row>
    <row r="201" spans="1:17" ht="15">
      <c r="A201" s="77"/>
      <c r="B201" s="369"/>
      <c r="C201" s="323">
        <v>46200</v>
      </c>
      <c r="D201" s="138">
        <v>46219</v>
      </c>
      <c r="E201" s="81">
        <v>80</v>
      </c>
      <c r="F201" s="373">
        <v>3331289</v>
      </c>
      <c r="G201" s="303" t="s">
        <v>584</v>
      </c>
      <c r="H201" s="370"/>
      <c r="I201" s="370"/>
      <c r="J201" s="370"/>
      <c r="K201" s="370"/>
      <c r="L201" s="370"/>
      <c r="M201" s="370"/>
      <c r="N201" s="83" t="s">
        <v>57</v>
      </c>
      <c r="O201" s="352">
        <v>0.25</v>
      </c>
      <c r="P201" s="352">
        <v>0.35</v>
      </c>
      <c r="Q201" s="357" t="s">
        <v>55</v>
      </c>
    </row>
    <row r="202" spans="1:17" ht="15">
      <c r="A202" s="77"/>
      <c r="B202" s="369"/>
      <c r="C202" s="323">
        <v>46200</v>
      </c>
      <c r="D202" s="138">
        <v>46219</v>
      </c>
      <c r="E202" s="81">
        <v>80</v>
      </c>
      <c r="F202" s="373">
        <v>3530690</v>
      </c>
      <c r="G202" s="303" t="s">
        <v>585</v>
      </c>
      <c r="H202" s="370"/>
      <c r="I202" s="370"/>
      <c r="J202" s="370"/>
      <c r="K202" s="370"/>
      <c r="L202" s="370"/>
      <c r="M202" s="370"/>
      <c r="N202" s="83" t="s">
        <v>57</v>
      </c>
      <c r="O202" s="352">
        <v>0.25</v>
      </c>
      <c r="P202" s="352">
        <v>0.35</v>
      </c>
      <c r="Q202" s="357" t="s">
        <v>55</v>
      </c>
    </row>
    <row r="203" spans="1:17" ht="15">
      <c r="A203" s="77"/>
      <c r="B203" s="369"/>
      <c r="C203" s="323">
        <v>46200</v>
      </c>
      <c r="D203" s="138">
        <v>46219</v>
      </c>
      <c r="E203" s="81">
        <v>80</v>
      </c>
      <c r="F203" s="373">
        <v>410160</v>
      </c>
      <c r="G203" s="303" t="s">
        <v>586</v>
      </c>
      <c r="H203" s="370"/>
      <c r="I203" s="370"/>
      <c r="J203" s="370"/>
      <c r="K203" s="370"/>
      <c r="L203" s="370"/>
      <c r="M203" s="370"/>
      <c r="N203" s="83" t="s">
        <v>57</v>
      </c>
      <c r="O203" s="352">
        <v>0.25</v>
      </c>
      <c r="P203" s="352">
        <v>0.35</v>
      </c>
      <c r="Q203" s="357" t="s">
        <v>55</v>
      </c>
    </row>
    <row r="204" spans="1:17" ht="15">
      <c r="A204" s="77"/>
      <c r="B204" s="369"/>
      <c r="C204" s="323">
        <v>46200</v>
      </c>
      <c r="D204" s="138">
        <v>46219</v>
      </c>
      <c r="E204" s="81">
        <v>80</v>
      </c>
      <c r="F204" s="373">
        <v>3178662</v>
      </c>
      <c r="G204" s="303" t="s">
        <v>587</v>
      </c>
      <c r="H204" s="370"/>
      <c r="I204" s="370"/>
      <c r="J204" s="370"/>
      <c r="K204" s="370"/>
      <c r="L204" s="370"/>
      <c r="M204" s="370"/>
      <c r="N204" s="535" t="s">
        <v>57</v>
      </c>
      <c r="O204" s="352">
        <v>0.25</v>
      </c>
      <c r="P204" s="352">
        <v>0.35</v>
      </c>
      <c r="Q204" s="357" t="s">
        <v>55</v>
      </c>
    </row>
    <row r="205" spans="1:17" ht="15">
      <c r="A205" s="358"/>
      <c r="B205" s="369"/>
      <c r="C205" s="323">
        <v>46200</v>
      </c>
      <c r="D205" s="138">
        <v>46219</v>
      </c>
      <c r="E205" s="94">
        <v>80</v>
      </c>
      <c r="F205" s="383">
        <v>1081190</v>
      </c>
      <c r="G205" s="321" t="s">
        <v>588</v>
      </c>
      <c r="H205" s="369"/>
      <c r="I205" s="370"/>
      <c r="J205" s="370"/>
      <c r="K205" s="370"/>
      <c r="L205" s="370"/>
      <c r="M205" s="370"/>
      <c r="N205" s="83" t="s">
        <v>57</v>
      </c>
      <c r="O205" s="352">
        <v>0.25</v>
      </c>
      <c r="P205" s="352">
        <v>0.35</v>
      </c>
      <c r="Q205" s="357" t="s">
        <v>55</v>
      </c>
    </row>
    <row r="206" spans="1:17" ht="15">
      <c r="A206" s="77"/>
      <c r="B206" s="370"/>
      <c r="C206" s="52">
        <v>46200</v>
      </c>
      <c r="D206" s="78">
        <v>46219</v>
      </c>
      <c r="E206" s="81">
        <v>80</v>
      </c>
      <c r="F206" s="409">
        <v>892568</v>
      </c>
      <c r="G206" s="110" t="s">
        <v>589</v>
      </c>
      <c r="H206" s="370"/>
      <c r="I206" s="382"/>
      <c r="J206" s="370"/>
      <c r="K206" s="370"/>
      <c r="L206" s="370"/>
      <c r="M206" s="370"/>
      <c r="N206" s="83" t="s">
        <v>57</v>
      </c>
      <c r="O206" s="352">
        <v>0.25</v>
      </c>
      <c r="P206" s="352">
        <v>0.35</v>
      </c>
      <c r="Q206" s="357" t="s">
        <v>55</v>
      </c>
    </row>
    <row r="207" spans="1:17" ht="15">
      <c r="A207" s="77"/>
      <c r="B207" s="370"/>
      <c r="C207" s="52">
        <v>46200</v>
      </c>
      <c r="D207" s="78">
        <v>46219</v>
      </c>
      <c r="E207" s="81">
        <v>80</v>
      </c>
      <c r="F207" s="409">
        <v>3530689</v>
      </c>
      <c r="G207" s="110" t="s">
        <v>590</v>
      </c>
      <c r="H207" s="370"/>
      <c r="I207" s="382"/>
      <c r="J207" s="370"/>
      <c r="K207" s="370"/>
      <c r="L207" s="370"/>
      <c r="M207" s="370"/>
      <c r="N207" s="83" t="s">
        <v>57</v>
      </c>
      <c r="O207" s="352">
        <v>0.25</v>
      </c>
      <c r="P207" s="352">
        <v>0.35</v>
      </c>
      <c r="Q207" s="357" t="s">
        <v>55</v>
      </c>
    </row>
    <row r="208" spans="1:17" ht="15">
      <c r="A208" s="410"/>
      <c r="B208" s="411"/>
      <c r="C208" s="601">
        <v>46200</v>
      </c>
      <c r="D208" s="412">
        <v>46219</v>
      </c>
      <c r="E208" s="141">
        <v>80</v>
      </c>
      <c r="F208" s="398">
        <v>529699</v>
      </c>
      <c r="G208" s="399" t="s">
        <v>591</v>
      </c>
      <c r="H208" s="141"/>
      <c r="I208" s="81"/>
      <c r="J208" s="81"/>
      <c r="K208" s="81"/>
      <c r="L208" s="81"/>
      <c r="M208" s="81"/>
      <c r="N208" s="398" t="s">
        <v>592</v>
      </c>
      <c r="O208" s="400">
        <v>0.25</v>
      </c>
      <c r="P208" s="400">
        <v>0.35</v>
      </c>
      <c r="Q208" s="401" t="s">
        <v>55</v>
      </c>
    </row>
    <row r="209" spans="1:17" ht="15">
      <c r="A209" s="77"/>
      <c r="B209" s="369"/>
      <c r="C209" s="602">
        <v>46200</v>
      </c>
      <c r="D209" s="138">
        <v>46219</v>
      </c>
      <c r="E209" s="81">
        <v>80</v>
      </c>
      <c r="F209" s="398">
        <v>1715678</v>
      </c>
      <c r="G209" s="399" t="s">
        <v>593</v>
      </c>
      <c r="H209" s="81"/>
      <c r="I209" s="81"/>
      <c r="J209" s="81"/>
      <c r="K209" s="81"/>
      <c r="L209" s="81"/>
      <c r="M209" s="81"/>
      <c r="N209" s="398" t="s">
        <v>592</v>
      </c>
      <c r="O209" s="400">
        <v>0.25</v>
      </c>
      <c r="P209" s="400">
        <v>0.35</v>
      </c>
      <c r="Q209" s="401" t="s">
        <v>55</v>
      </c>
    </row>
    <row r="210" spans="1:17" ht="15">
      <c r="A210" s="77"/>
      <c r="B210" s="369"/>
      <c r="C210" s="602">
        <v>46200</v>
      </c>
      <c r="D210" s="138">
        <v>46219</v>
      </c>
      <c r="E210" s="81">
        <v>80</v>
      </c>
      <c r="F210" s="398">
        <v>979924</v>
      </c>
      <c r="G210" s="399" t="s">
        <v>594</v>
      </c>
      <c r="H210" s="81"/>
      <c r="I210" s="81"/>
      <c r="J210" s="81"/>
      <c r="K210" s="81"/>
      <c r="L210" s="81"/>
      <c r="M210" s="81"/>
      <c r="N210" s="536" t="s">
        <v>592</v>
      </c>
      <c r="O210" s="400">
        <v>0.25</v>
      </c>
      <c r="P210" s="400">
        <v>0.35</v>
      </c>
      <c r="Q210" s="401" t="s">
        <v>55</v>
      </c>
    </row>
    <row r="211" spans="1:17" ht="15">
      <c r="A211" s="77"/>
      <c r="B211" s="369"/>
      <c r="C211" s="323">
        <v>46200</v>
      </c>
      <c r="D211" s="138">
        <v>46219</v>
      </c>
      <c r="E211" s="81">
        <v>80</v>
      </c>
      <c r="F211" s="65">
        <v>5014</v>
      </c>
      <c r="G211" s="371" t="s">
        <v>595</v>
      </c>
      <c r="H211" s="382"/>
      <c r="I211" s="370"/>
      <c r="J211" s="370"/>
      <c r="K211" s="370"/>
      <c r="L211" s="370"/>
      <c r="M211" s="370"/>
      <c r="N211" s="83" t="s">
        <v>57</v>
      </c>
      <c r="O211" s="352">
        <v>0.3</v>
      </c>
      <c r="P211" s="352">
        <v>0.4</v>
      </c>
      <c r="Q211" s="353" t="s">
        <v>59</v>
      </c>
    </row>
    <row r="212" spans="1:17" ht="15">
      <c r="A212" s="77"/>
      <c r="B212" s="369"/>
      <c r="C212" s="323">
        <v>46200</v>
      </c>
      <c r="D212" s="138">
        <v>46219</v>
      </c>
      <c r="E212" s="81">
        <v>80</v>
      </c>
      <c r="F212" s="66">
        <v>806692</v>
      </c>
      <c r="G212" s="303" t="s">
        <v>596</v>
      </c>
      <c r="H212" s="382"/>
      <c r="I212" s="370"/>
      <c r="J212" s="370"/>
      <c r="K212" s="370"/>
      <c r="L212" s="370"/>
      <c r="M212" s="370"/>
      <c r="N212" s="83" t="s">
        <v>57</v>
      </c>
      <c r="O212" s="352">
        <v>0.3</v>
      </c>
      <c r="P212" s="352">
        <v>0.4</v>
      </c>
      <c r="Q212" s="353" t="s">
        <v>59</v>
      </c>
    </row>
    <row r="213" spans="1:17" ht="15">
      <c r="A213" s="77"/>
      <c r="B213" s="369"/>
      <c r="C213" s="323">
        <v>46200</v>
      </c>
      <c r="D213" s="138">
        <v>46219</v>
      </c>
      <c r="E213" s="81">
        <v>80</v>
      </c>
      <c r="F213" s="66">
        <v>440773</v>
      </c>
      <c r="G213" s="303" t="s">
        <v>597</v>
      </c>
      <c r="H213" s="382"/>
      <c r="I213" s="370"/>
      <c r="J213" s="370"/>
      <c r="K213" s="370"/>
      <c r="L213" s="370"/>
      <c r="M213" s="370"/>
      <c r="N213" s="83" t="s">
        <v>57</v>
      </c>
      <c r="O213" s="352">
        <v>0.3</v>
      </c>
      <c r="P213" s="352">
        <v>0.4</v>
      </c>
      <c r="Q213" s="353" t="s">
        <v>59</v>
      </c>
    </row>
    <row r="214" spans="1:17" ht="15">
      <c r="A214" s="77"/>
      <c r="B214" s="369"/>
      <c r="C214" s="323">
        <v>46200</v>
      </c>
      <c r="D214" s="138">
        <v>46219</v>
      </c>
      <c r="E214" s="81">
        <v>80</v>
      </c>
      <c r="F214" s="66">
        <v>738559</v>
      </c>
      <c r="G214" s="303" t="s">
        <v>598</v>
      </c>
      <c r="H214" s="382"/>
      <c r="I214" s="370"/>
      <c r="J214" s="370"/>
      <c r="K214" s="370"/>
      <c r="L214" s="370"/>
      <c r="M214" s="370"/>
      <c r="N214" s="83" t="s">
        <v>57</v>
      </c>
      <c r="O214" s="352">
        <v>0.3</v>
      </c>
      <c r="P214" s="352">
        <v>0.4</v>
      </c>
      <c r="Q214" s="353" t="s">
        <v>59</v>
      </c>
    </row>
    <row r="215" spans="1:17" ht="15">
      <c r="A215" s="77"/>
      <c r="B215" s="369"/>
      <c r="C215" s="323">
        <v>46200</v>
      </c>
      <c r="D215" s="138">
        <v>46219</v>
      </c>
      <c r="E215" s="81">
        <v>80</v>
      </c>
      <c r="F215" s="66">
        <v>266271</v>
      </c>
      <c r="G215" s="303" t="s">
        <v>599</v>
      </c>
      <c r="H215" s="382"/>
      <c r="I215" s="370"/>
      <c r="J215" s="370"/>
      <c r="K215" s="370"/>
      <c r="L215" s="370"/>
      <c r="M215" s="370"/>
      <c r="N215" s="83" t="s">
        <v>57</v>
      </c>
      <c r="O215" s="352">
        <v>0.3</v>
      </c>
      <c r="P215" s="352">
        <v>0.4</v>
      </c>
      <c r="Q215" s="353" t="s">
        <v>59</v>
      </c>
    </row>
    <row r="216" spans="1:17" ht="15">
      <c r="A216" s="77"/>
      <c r="B216" s="369"/>
      <c r="C216" s="323">
        <v>46200</v>
      </c>
      <c r="D216" s="138">
        <v>46219</v>
      </c>
      <c r="E216" s="81">
        <v>80</v>
      </c>
      <c r="F216" s="66">
        <v>292838</v>
      </c>
      <c r="G216" s="303" t="s">
        <v>600</v>
      </c>
      <c r="H216" s="382"/>
      <c r="I216" s="370"/>
      <c r="J216" s="370"/>
      <c r="K216" s="370"/>
      <c r="L216" s="370"/>
      <c r="M216" s="370"/>
      <c r="N216" s="83" t="s">
        <v>57</v>
      </c>
      <c r="O216" s="352">
        <v>0.3</v>
      </c>
      <c r="P216" s="352">
        <v>0.4</v>
      </c>
      <c r="Q216" s="353" t="s">
        <v>59</v>
      </c>
    </row>
    <row r="217" spans="1:17" ht="15">
      <c r="A217" s="77"/>
      <c r="B217" s="369"/>
      <c r="C217" s="323">
        <v>46200</v>
      </c>
      <c r="D217" s="138">
        <v>46219</v>
      </c>
      <c r="E217" s="81">
        <v>80</v>
      </c>
      <c r="F217" s="65">
        <v>3209938</v>
      </c>
      <c r="G217" s="371" t="s">
        <v>601</v>
      </c>
      <c r="H217" s="382"/>
      <c r="I217" s="370"/>
      <c r="J217" s="370"/>
      <c r="K217" s="370"/>
      <c r="L217" s="370"/>
      <c r="M217" s="370"/>
      <c r="N217" s="65" t="s">
        <v>602</v>
      </c>
      <c r="O217" s="352">
        <v>0.3</v>
      </c>
      <c r="P217" s="352">
        <v>0.4</v>
      </c>
      <c r="Q217" s="353" t="s">
        <v>59</v>
      </c>
    </row>
    <row r="218" spans="1:17" ht="15">
      <c r="A218" s="77"/>
      <c r="B218" s="369"/>
      <c r="C218" s="323">
        <v>46200</v>
      </c>
      <c r="D218" s="138">
        <v>46219</v>
      </c>
      <c r="E218" s="81">
        <v>80</v>
      </c>
      <c r="F218" s="66">
        <v>1862992</v>
      </c>
      <c r="G218" s="303" t="s">
        <v>603</v>
      </c>
      <c r="H218" s="382"/>
      <c r="I218" s="370"/>
      <c r="J218" s="370"/>
      <c r="K218" s="370"/>
      <c r="L218" s="370"/>
      <c r="M218" s="370"/>
      <c r="N218" s="66" t="s">
        <v>602</v>
      </c>
      <c r="O218" s="352">
        <v>0.3</v>
      </c>
      <c r="P218" s="352">
        <v>0.4</v>
      </c>
      <c r="Q218" s="353" t="s">
        <v>59</v>
      </c>
    </row>
    <row r="219" spans="1:17" ht="15">
      <c r="A219" s="77"/>
      <c r="B219" s="369"/>
      <c r="C219" s="323">
        <v>46200</v>
      </c>
      <c r="D219" s="138">
        <v>46219</v>
      </c>
      <c r="E219" s="81">
        <v>80</v>
      </c>
      <c r="F219" s="66">
        <v>1862910</v>
      </c>
      <c r="G219" s="303" t="s">
        <v>604</v>
      </c>
      <c r="H219" s="382"/>
      <c r="I219" s="370"/>
      <c r="J219" s="370"/>
      <c r="K219" s="370"/>
      <c r="L219" s="370"/>
      <c r="M219" s="370"/>
      <c r="N219" s="66" t="s">
        <v>602</v>
      </c>
      <c r="O219" s="352">
        <v>0.3</v>
      </c>
      <c r="P219" s="352">
        <v>0.4</v>
      </c>
      <c r="Q219" s="353" t="s">
        <v>59</v>
      </c>
    </row>
    <row r="220" spans="1:17" ht="15">
      <c r="A220" s="77"/>
      <c r="B220" s="369"/>
      <c r="C220" s="323">
        <v>46200</v>
      </c>
      <c r="D220" s="138">
        <v>46219</v>
      </c>
      <c r="E220" s="81">
        <v>80</v>
      </c>
      <c r="F220" s="66">
        <v>1201984</v>
      </c>
      <c r="G220" s="303" t="s">
        <v>605</v>
      </c>
      <c r="H220" s="382"/>
      <c r="I220" s="370"/>
      <c r="J220" s="370"/>
      <c r="K220" s="370"/>
      <c r="L220" s="370"/>
      <c r="M220" s="370"/>
      <c r="N220" s="66" t="s">
        <v>602</v>
      </c>
      <c r="O220" s="352">
        <v>0.3</v>
      </c>
      <c r="P220" s="352">
        <v>0.4</v>
      </c>
      <c r="Q220" s="353" t="s">
        <v>59</v>
      </c>
    </row>
    <row r="221" spans="1:17" ht="15">
      <c r="A221" s="77"/>
      <c r="B221" s="369"/>
      <c r="C221" s="323">
        <v>46200</v>
      </c>
      <c r="D221" s="138">
        <v>46219</v>
      </c>
      <c r="E221" s="81">
        <v>80</v>
      </c>
      <c r="F221" s="66">
        <v>1862874</v>
      </c>
      <c r="G221" s="303" t="s">
        <v>606</v>
      </c>
      <c r="H221" s="382"/>
      <c r="I221" s="370"/>
      <c r="J221" s="370"/>
      <c r="K221" s="370"/>
      <c r="L221" s="370"/>
      <c r="M221" s="370"/>
      <c r="N221" s="66" t="s">
        <v>602</v>
      </c>
      <c r="O221" s="352">
        <v>0.3</v>
      </c>
      <c r="P221" s="352">
        <v>0.4</v>
      </c>
      <c r="Q221" s="353" t="s">
        <v>59</v>
      </c>
    </row>
    <row r="222" spans="1:17" ht="15">
      <c r="A222" s="77"/>
      <c r="B222" s="369"/>
      <c r="C222" s="323">
        <v>46200</v>
      </c>
      <c r="D222" s="138">
        <v>46219</v>
      </c>
      <c r="E222" s="81">
        <v>80</v>
      </c>
      <c r="F222" s="66">
        <v>3325629</v>
      </c>
      <c r="G222" s="303" t="s">
        <v>607</v>
      </c>
      <c r="H222" s="382"/>
      <c r="I222" s="370"/>
      <c r="J222" s="370"/>
      <c r="K222" s="370"/>
      <c r="L222" s="370"/>
      <c r="M222" s="370"/>
      <c r="N222" s="66" t="s">
        <v>608</v>
      </c>
      <c r="O222" s="352">
        <v>0.3</v>
      </c>
      <c r="P222" s="352">
        <v>0.4</v>
      </c>
      <c r="Q222" s="353" t="s">
        <v>59</v>
      </c>
    </row>
    <row r="223" spans="1:17" ht="15">
      <c r="A223" s="77"/>
      <c r="B223" s="369"/>
      <c r="C223" s="323">
        <v>46200</v>
      </c>
      <c r="D223" s="138">
        <v>46219</v>
      </c>
      <c r="E223" s="81">
        <v>80</v>
      </c>
      <c r="F223" s="66">
        <v>3325628</v>
      </c>
      <c r="G223" s="303" t="s">
        <v>609</v>
      </c>
      <c r="H223" s="369"/>
      <c r="I223" s="370"/>
      <c r="J223" s="370"/>
      <c r="K223" s="370"/>
      <c r="L223" s="370"/>
      <c r="M223" s="370"/>
      <c r="N223" s="66" t="s">
        <v>608</v>
      </c>
      <c r="O223" s="352">
        <v>0.3</v>
      </c>
      <c r="P223" s="352">
        <v>0.4</v>
      </c>
      <c r="Q223" s="353" t="s">
        <v>59</v>
      </c>
    </row>
    <row r="224" spans="1:17" ht="15">
      <c r="A224" s="77"/>
      <c r="B224" s="369"/>
      <c r="C224" s="323">
        <v>46200</v>
      </c>
      <c r="D224" s="138">
        <v>46219</v>
      </c>
      <c r="E224" s="81">
        <v>80</v>
      </c>
      <c r="F224" s="66">
        <v>1713320</v>
      </c>
      <c r="G224" s="118" t="s">
        <v>610</v>
      </c>
      <c r="H224" s="370"/>
      <c r="I224" s="382"/>
      <c r="J224" s="370"/>
      <c r="K224" s="370"/>
      <c r="L224" s="370"/>
      <c r="M224" s="370"/>
      <c r="N224" s="66" t="s">
        <v>608</v>
      </c>
      <c r="O224" s="352">
        <v>0.3</v>
      </c>
      <c r="P224" s="352">
        <v>0.4</v>
      </c>
      <c r="Q224" s="353" t="s">
        <v>59</v>
      </c>
    </row>
    <row r="225" spans="1:17" ht="15">
      <c r="A225" s="77"/>
      <c r="B225" s="369"/>
      <c r="C225" s="323">
        <v>46200</v>
      </c>
      <c r="D225" s="138">
        <v>46219</v>
      </c>
      <c r="E225" s="81">
        <v>80</v>
      </c>
      <c r="F225" s="65">
        <v>3691388</v>
      </c>
      <c r="G225" s="117" t="s">
        <v>611</v>
      </c>
      <c r="H225" s="77"/>
      <c r="I225" s="382"/>
      <c r="J225" s="370"/>
      <c r="K225" s="370"/>
      <c r="L225" s="370"/>
      <c r="M225" s="370"/>
      <c r="N225" s="343" t="s">
        <v>612</v>
      </c>
      <c r="O225" s="352">
        <v>0.3</v>
      </c>
      <c r="P225" s="352">
        <v>0.4</v>
      </c>
      <c r="Q225" s="353" t="s">
        <v>59</v>
      </c>
    </row>
    <row r="226" spans="1:17" ht="15">
      <c r="A226" s="77"/>
      <c r="B226" s="369"/>
      <c r="C226" s="323">
        <v>46200</v>
      </c>
      <c r="D226" s="138">
        <v>46219</v>
      </c>
      <c r="E226" s="81">
        <v>80</v>
      </c>
      <c r="F226" s="62" t="s">
        <v>613</v>
      </c>
      <c r="G226" s="118" t="s">
        <v>614</v>
      </c>
      <c r="H226" s="77"/>
      <c r="I226" s="382"/>
      <c r="J226" s="370"/>
      <c r="K226" s="370"/>
      <c r="L226" s="370"/>
      <c r="M226" s="370"/>
      <c r="N226" s="303" t="s">
        <v>615</v>
      </c>
      <c r="O226" s="352">
        <v>0.3</v>
      </c>
      <c r="P226" s="352">
        <v>0.4</v>
      </c>
      <c r="Q226" s="353" t="s">
        <v>59</v>
      </c>
    </row>
    <row r="227" spans="1:17" ht="15">
      <c r="A227" s="77"/>
      <c r="B227" s="369"/>
      <c r="C227" s="323">
        <v>46200</v>
      </c>
      <c r="D227" s="138">
        <v>46219</v>
      </c>
      <c r="E227" s="81">
        <v>80</v>
      </c>
      <c r="F227" s="386" t="s">
        <v>616</v>
      </c>
      <c r="G227" s="83" t="s">
        <v>617</v>
      </c>
      <c r="H227" s="384"/>
      <c r="I227" s="370"/>
      <c r="J227" s="370"/>
      <c r="K227" s="370"/>
      <c r="L227" s="370"/>
      <c r="M227" s="370"/>
      <c r="N227" s="65" t="s">
        <v>618</v>
      </c>
      <c r="O227" s="352">
        <v>0.3</v>
      </c>
      <c r="P227" s="352">
        <v>0.4</v>
      </c>
      <c r="Q227" s="353" t="s">
        <v>59</v>
      </c>
    </row>
    <row r="228" spans="1:17" ht="15">
      <c r="A228" s="77"/>
      <c r="B228" s="369"/>
      <c r="C228" s="323">
        <v>46200</v>
      </c>
      <c r="D228" s="138">
        <v>46219</v>
      </c>
      <c r="E228" s="81">
        <v>80</v>
      </c>
      <c r="F228" s="386" t="s">
        <v>619</v>
      </c>
      <c r="G228" s="83" t="s">
        <v>620</v>
      </c>
      <c r="H228" s="370"/>
      <c r="I228" s="370"/>
      <c r="J228" s="370"/>
      <c r="K228" s="370"/>
      <c r="L228" s="370"/>
      <c r="M228" s="370"/>
      <c r="N228" s="83" t="s">
        <v>621</v>
      </c>
      <c r="O228" s="352">
        <v>0.3</v>
      </c>
      <c r="P228" s="352">
        <v>0.4</v>
      </c>
      <c r="Q228" s="353" t="s">
        <v>59</v>
      </c>
    </row>
    <row r="229" spans="1:17">
      <c r="A229" s="77"/>
      <c r="B229" s="363"/>
      <c r="C229" s="361"/>
      <c r="D229" s="361"/>
      <c r="E229" s="361"/>
      <c r="F229" s="361"/>
      <c r="G229" s="361" t="s">
        <v>622</v>
      </c>
      <c r="H229" s="361"/>
      <c r="I229" s="361"/>
      <c r="J229" s="361"/>
      <c r="K229" s="361"/>
      <c r="L229" s="361"/>
      <c r="M229" s="361"/>
      <c r="N229" s="361"/>
      <c r="O229" s="361"/>
      <c r="P229" s="361"/>
      <c r="Q229" s="362"/>
    </row>
    <row r="230" spans="1:17" ht="15">
      <c r="A230" s="375"/>
      <c r="B230" s="402" t="s">
        <v>71</v>
      </c>
      <c r="C230" s="603">
        <v>46201</v>
      </c>
      <c r="D230" s="392">
        <v>46211</v>
      </c>
      <c r="E230" s="81">
        <v>80</v>
      </c>
      <c r="F230" s="65">
        <v>1047205</v>
      </c>
      <c r="G230" s="371" t="s">
        <v>623</v>
      </c>
      <c r="H230" s="370"/>
      <c r="I230" s="370"/>
      <c r="J230" s="370"/>
      <c r="K230" s="370"/>
      <c r="L230" s="370"/>
      <c r="M230" s="370"/>
      <c r="N230" s="374" t="s">
        <v>624</v>
      </c>
      <c r="O230" s="352">
        <v>0.25</v>
      </c>
      <c r="P230" s="352">
        <v>0.35</v>
      </c>
      <c r="Q230" s="349" t="s">
        <v>55</v>
      </c>
    </row>
    <row r="231" spans="1:17" ht="15">
      <c r="A231" s="375"/>
      <c r="B231" s="403" t="s">
        <v>71</v>
      </c>
      <c r="C231" s="603">
        <v>46201</v>
      </c>
      <c r="D231" s="392">
        <v>46211</v>
      </c>
      <c r="E231" s="81">
        <v>80</v>
      </c>
      <c r="F231" s="66">
        <v>3751965</v>
      </c>
      <c r="G231" s="303" t="s">
        <v>625</v>
      </c>
      <c r="H231" s="370"/>
      <c r="I231" s="370"/>
      <c r="J231" s="370"/>
      <c r="K231" s="370"/>
      <c r="L231" s="370"/>
      <c r="M231" s="370"/>
      <c r="N231" s="373" t="s">
        <v>56</v>
      </c>
      <c r="O231" s="352">
        <v>0.25</v>
      </c>
      <c r="P231" s="352">
        <v>0.35</v>
      </c>
      <c r="Q231" s="350" t="s">
        <v>55</v>
      </c>
    </row>
    <row r="232" spans="1:17" ht="15">
      <c r="A232" s="375"/>
      <c r="B232" s="403" t="s">
        <v>130</v>
      </c>
      <c r="C232" s="595">
        <v>46203</v>
      </c>
      <c r="D232" s="391">
        <v>46211</v>
      </c>
      <c r="E232" s="81">
        <v>80</v>
      </c>
      <c r="F232" s="65">
        <v>3327416</v>
      </c>
      <c r="G232" s="371" t="s">
        <v>626</v>
      </c>
      <c r="H232" s="370"/>
      <c r="I232" s="370"/>
      <c r="J232" s="370"/>
      <c r="K232" s="370"/>
      <c r="L232" s="370"/>
      <c r="M232" s="370"/>
      <c r="N232" s="388" t="s">
        <v>627</v>
      </c>
      <c r="O232" s="352">
        <v>0.25</v>
      </c>
      <c r="P232" s="352">
        <v>0.35</v>
      </c>
      <c r="Q232" s="350" t="s">
        <v>55</v>
      </c>
    </row>
    <row r="233" spans="1:17" ht="15">
      <c r="A233" s="375"/>
      <c r="B233" s="403" t="s">
        <v>130</v>
      </c>
      <c r="C233" s="595">
        <v>46203</v>
      </c>
      <c r="D233" s="391">
        <v>46211</v>
      </c>
      <c r="E233" s="81">
        <v>80</v>
      </c>
      <c r="F233" s="66">
        <v>3320921</v>
      </c>
      <c r="G233" s="303" t="s">
        <v>628</v>
      </c>
      <c r="H233" s="370"/>
      <c r="I233" s="370"/>
      <c r="J233" s="370"/>
      <c r="K233" s="370"/>
      <c r="L233" s="370"/>
      <c r="M233" s="370"/>
      <c r="N233" s="389" t="s">
        <v>629</v>
      </c>
      <c r="O233" s="352">
        <v>0.25</v>
      </c>
      <c r="P233" s="352">
        <v>0.35</v>
      </c>
      <c r="Q233" s="350" t="s">
        <v>55</v>
      </c>
    </row>
    <row r="234" spans="1:17" ht="15">
      <c r="A234" s="375"/>
      <c r="B234" s="403" t="s">
        <v>130</v>
      </c>
      <c r="C234" s="595">
        <v>46203</v>
      </c>
      <c r="D234" s="391">
        <v>46211</v>
      </c>
      <c r="E234" s="81">
        <v>80</v>
      </c>
      <c r="F234" s="66">
        <v>3440769</v>
      </c>
      <c r="G234" s="303" t="s">
        <v>630</v>
      </c>
      <c r="H234" s="370"/>
      <c r="I234" s="370"/>
      <c r="J234" s="370"/>
      <c r="K234" s="370"/>
      <c r="L234" s="370"/>
      <c r="M234" s="370"/>
      <c r="N234" s="66" t="s">
        <v>631</v>
      </c>
      <c r="O234" s="352">
        <v>0.25</v>
      </c>
      <c r="P234" s="352">
        <v>0.35</v>
      </c>
      <c r="Q234" s="350" t="s">
        <v>55</v>
      </c>
    </row>
    <row r="235" spans="1:17" ht="15">
      <c r="A235" s="375"/>
      <c r="B235" s="403" t="s">
        <v>130</v>
      </c>
      <c r="C235" s="595">
        <v>46203</v>
      </c>
      <c r="D235" s="391">
        <v>46211</v>
      </c>
      <c r="E235" s="81">
        <v>80</v>
      </c>
      <c r="F235" s="66">
        <v>3440767</v>
      </c>
      <c r="G235" s="303" t="s">
        <v>632</v>
      </c>
      <c r="H235" s="370"/>
      <c r="I235" s="370"/>
      <c r="J235" s="370"/>
      <c r="K235" s="370"/>
      <c r="L235" s="370"/>
      <c r="M235" s="370"/>
      <c r="N235" s="372" t="s">
        <v>631</v>
      </c>
      <c r="O235" s="352">
        <v>0.25</v>
      </c>
      <c r="P235" s="352">
        <v>0.35</v>
      </c>
      <c r="Q235" s="350" t="s">
        <v>55</v>
      </c>
    </row>
    <row r="236" spans="1:17" ht="15">
      <c r="A236" s="375"/>
      <c r="B236" s="403" t="s">
        <v>130</v>
      </c>
      <c r="C236" s="595">
        <v>46203</v>
      </c>
      <c r="D236" s="391">
        <v>46211</v>
      </c>
      <c r="E236" s="81">
        <v>80</v>
      </c>
      <c r="F236" s="66">
        <v>3785407</v>
      </c>
      <c r="G236" s="303" t="s">
        <v>633</v>
      </c>
      <c r="H236" s="370"/>
      <c r="I236" s="370"/>
      <c r="J236" s="370"/>
      <c r="K236" s="370"/>
      <c r="L236" s="370"/>
      <c r="M236" s="370"/>
      <c r="N236" s="66" t="s">
        <v>631</v>
      </c>
      <c r="O236" s="352">
        <v>0.25</v>
      </c>
      <c r="P236" s="352">
        <v>0.35</v>
      </c>
      <c r="Q236" s="350" t="s">
        <v>55</v>
      </c>
    </row>
    <row r="237" spans="1:17" ht="15">
      <c r="A237" s="375"/>
      <c r="B237" s="403" t="s">
        <v>130</v>
      </c>
      <c r="C237" s="595">
        <v>46203</v>
      </c>
      <c r="D237" s="391">
        <v>46211</v>
      </c>
      <c r="E237" s="81">
        <v>80</v>
      </c>
      <c r="F237" s="66">
        <v>3530283</v>
      </c>
      <c r="G237" s="303" t="s">
        <v>634</v>
      </c>
      <c r="H237" s="370"/>
      <c r="I237" s="370"/>
      <c r="J237" s="370"/>
      <c r="K237" s="370"/>
      <c r="L237" s="370"/>
      <c r="M237" s="370"/>
      <c r="N237" s="66" t="s">
        <v>631</v>
      </c>
      <c r="O237" s="352">
        <v>0.25</v>
      </c>
      <c r="P237" s="352">
        <v>0.35</v>
      </c>
      <c r="Q237" s="350" t="s">
        <v>55</v>
      </c>
    </row>
    <row r="238" spans="1:17" ht="15">
      <c r="A238" s="375"/>
      <c r="B238" s="403" t="s">
        <v>71</v>
      </c>
      <c r="C238" s="595">
        <v>46203</v>
      </c>
      <c r="D238" s="391">
        <v>46211</v>
      </c>
      <c r="E238" s="81">
        <v>80</v>
      </c>
      <c r="F238" s="66">
        <v>1602142</v>
      </c>
      <c r="G238" s="303" t="s">
        <v>635</v>
      </c>
      <c r="H238" s="370"/>
      <c r="I238" s="370"/>
      <c r="J238" s="370"/>
      <c r="K238" s="370"/>
      <c r="L238" s="370"/>
      <c r="M238" s="370"/>
      <c r="N238" s="389" t="s">
        <v>636</v>
      </c>
      <c r="O238" s="352">
        <v>0.25</v>
      </c>
      <c r="P238" s="352">
        <v>0.35</v>
      </c>
      <c r="Q238" s="350" t="s">
        <v>55</v>
      </c>
    </row>
    <row r="239" spans="1:17" ht="15">
      <c r="A239" s="375"/>
      <c r="B239" s="403" t="s">
        <v>71</v>
      </c>
      <c r="C239" s="595">
        <v>46203</v>
      </c>
      <c r="D239" s="391">
        <v>46211</v>
      </c>
      <c r="E239" s="81">
        <v>80</v>
      </c>
      <c r="F239" s="66">
        <v>3789451</v>
      </c>
      <c r="G239" s="303" t="s">
        <v>637</v>
      </c>
      <c r="H239" s="370"/>
      <c r="I239" s="370"/>
      <c r="J239" s="370"/>
      <c r="K239" s="370"/>
      <c r="L239" s="370"/>
      <c r="M239" s="370"/>
      <c r="N239" s="389" t="s">
        <v>636</v>
      </c>
      <c r="O239" s="352">
        <v>0.25</v>
      </c>
      <c r="P239" s="352">
        <v>0.35</v>
      </c>
      <c r="Q239" s="350" t="s">
        <v>55</v>
      </c>
    </row>
    <row r="240" spans="1:17" ht="15">
      <c r="A240" s="375"/>
      <c r="B240" s="403" t="s">
        <v>130</v>
      </c>
      <c r="C240" s="595">
        <v>46203</v>
      </c>
      <c r="D240" s="391">
        <v>46211</v>
      </c>
      <c r="E240" s="81">
        <v>80</v>
      </c>
      <c r="F240" s="66">
        <v>3759380</v>
      </c>
      <c r="G240" s="303" t="s">
        <v>638</v>
      </c>
      <c r="H240" s="370"/>
      <c r="I240" s="370"/>
      <c r="J240" s="370"/>
      <c r="K240" s="370"/>
      <c r="L240" s="370"/>
      <c r="M240" s="370"/>
      <c r="N240" s="66" t="s">
        <v>639</v>
      </c>
      <c r="O240" s="352">
        <v>0.25</v>
      </c>
      <c r="P240" s="352">
        <v>0.35</v>
      </c>
      <c r="Q240" s="350" t="s">
        <v>55</v>
      </c>
    </row>
    <row r="241" spans="1:17" ht="15">
      <c r="A241" s="375"/>
      <c r="B241" s="403" t="s">
        <v>130</v>
      </c>
      <c r="C241" s="595">
        <v>46203</v>
      </c>
      <c r="D241" s="391">
        <v>46211</v>
      </c>
      <c r="E241" s="81">
        <v>80</v>
      </c>
      <c r="F241" s="66">
        <v>3713378</v>
      </c>
      <c r="G241" s="303" t="s">
        <v>640</v>
      </c>
      <c r="H241" s="370"/>
      <c r="I241" s="370"/>
      <c r="J241" s="370"/>
      <c r="K241" s="370"/>
      <c r="L241" s="370"/>
      <c r="M241" s="370"/>
      <c r="N241" s="66" t="s">
        <v>639</v>
      </c>
      <c r="O241" s="352">
        <v>0.25</v>
      </c>
      <c r="P241" s="352">
        <v>0.35</v>
      </c>
      <c r="Q241" s="350" t="s">
        <v>55</v>
      </c>
    </row>
    <row r="242" spans="1:17" ht="15">
      <c r="A242" s="375"/>
      <c r="B242" s="403" t="s">
        <v>130</v>
      </c>
      <c r="C242" s="595">
        <v>46203</v>
      </c>
      <c r="D242" s="391">
        <v>46211</v>
      </c>
      <c r="E242" s="81">
        <v>80</v>
      </c>
      <c r="F242" s="66">
        <v>3713379</v>
      </c>
      <c r="G242" s="303" t="s">
        <v>641</v>
      </c>
      <c r="H242" s="370"/>
      <c r="I242" s="370"/>
      <c r="J242" s="370"/>
      <c r="K242" s="370"/>
      <c r="L242" s="370"/>
      <c r="M242" s="370"/>
      <c r="N242" s="66" t="s">
        <v>639</v>
      </c>
      <c r="O242" s="352">
        <v>0.25</v>
      </c>
      <c r="P242" s="352">
        <v>0.35</v>
      </c>
      <c r="Q242" s="350" t="s">
        <v>55</v>
      </c>
    </row>
    <row r="243" spans="1:17" ht="15">
      <c r="A243" s="375"/>
      <c r="B243" s="403" t="s">
        <v>130</v>
      </c>
      <c r="C243" s="595">
        <v>46203</v>
      </c>
      <c r="D243" s="391">
        <v>46211</v>
      </c>
      <c r="E243" s="81">
        <v>80</v>
      </c>
      <c r="F243" s="66">
        <v>3713381</v>
      </c>
      <c r="G243" s="303" t="s">
        <v>642</v>
      </c>
      <c r="H243" s="370"/>
      <c r="I243" s="370"/>
      <c r="J243" s="370"/>
      <c r="K243" s="370"/>
      <c r="L243" s="370"/>
      <c r="M243" s="370"/>
      <c r="N243" s="66" t="s">
        <v>639</v>
      </c>
      <c r="O243" s="352">
        <v>0.25</v>
      </c>
      <c r="P243" s="352">
        <v>0.35</v>
      </c>
      <c r="Q243" s="350" t="s">
        <v>55</v>
      </c>
    </row>
    <row r="244" spans="1:17" ht="15">
      <c r="A244" s="375"/>
      <c r="B244" s="403" t="s">
        <v>130</v>
      </c>
      <c r="C244" s="595">
        <v>46203</v>
      </c>
      <c r="D244" s="391">
        <v>46211</v>
      </c>
      <c r="E244" s="81">
        <v>80</v>
      </c>
      <c r="F244" s="66">
        <v>3713382</v>
      </c>
      <c r="G244" s="303" t="s">
        <v>643</v>
      </c>
      <c r="H244" s="370"/>
      <c r="I244" s="370"/>
      <c r="J244" s="370"/>
      <c r="K244" s="370"/>
      <c r="L244" s="370"/>
      <c r="M244" s="370"/>
      <c r="N244" s="66" t="s">
        <v>639</v>
      </c>
      <c r="O244" s="352">
        <v>0.25</v>
      </c>
      <c r="P244" s="352">
        <v>0.35</v>
      </c>
      <c r="Q244" s="350" t="s">
        <v>55</v>
      </c>
    </row>
    <row r="245" spans="1:17" ht="15">
      <c r="A245" s="375"/>
      <c r="B245" s="403" t="s">
        <v>130</v>
      </c>
      <c r="C245" s="595">
        <v>46203</v>
      </c>
      <c r="D245" s="391">
        <v>46211</v>
      </c>
      <c r="E245" s="81">
        <v>80</v>
      </c>
      <c r="F245" s="66">
        <v>247378</v>
      </c>
      <c r="G245" s="303" t="s">
        <v>644</v>
      </c>
      <c r="H245" s="370"/>
      <c r="I245" s="370"/>
      <c r="J245" s="370"/>
      <c r="K245" s="370"/>
      <c r="L245" s="370"/>
      <c r="M245" s="370"/>
      <c r="N245" s="372" t="s">
        <v>645</v>
      </c>
      <c r="O245" s="352">
        <v>0.25</v>
      </c>
      <c r="P245" s="352">
        <v>0.35</v>
      </c>
      <c r="Q245" s="350" t="s">
        <v>55</v>
      </c>
    </row>
    <row r="246" spans="1:17" ht="15">
      <c r="A246" s="375"/>
      <c r="B246" s="403" t="s">
        <v>130</v>
      </c>
      <c r="C246" s="595">
        <v>46203</v>
      </c>
      <c r="D246" s="391">
        <v>46211</v>
      </c>
      <c r="E246" s="81">
        <v>80</v>
      </c>
      <c r="F246" s="66">
        <v>932806</v>
      </c>
      <c r="G246" s="303" t="s">
        <v>646</v>
      </c>
      <c r="H246" s="370"/>
      <c r="I246" s="370"/>
      <c r="J246" s="370"/>
      <c r="K246" s="370"/>
      <c r="L246" s="370"/>
      <c r="M246" s="370"/>
      <c r="N246" s="66" t="s">
        <v>645</v>
      </c>
      <c r="O246" s="352">
        <v>0.25</v>
      </c>
      <c r="P246" s="352">
        <v>0.35</v>
      </c>
      <c r="Q246" s="350" t="s">
        <v>55</v>
      </c>
    </row>
    <row r="247" spans="1:17" ht="15">
      <c r="A247" s="375"/>
      <c r="B247" s="403" t="s">
        <v>130</v>
      </c>
      <c r="C247" s="595">
        <v>46203</v>
      </c>
      <c r="D247" s="391">
        <v>46211</v>
      </c>
      <c r="E247" s="81">
        <v>80</v>
      </c>
      <c r="F247" s="66">
        <v>3759221</v>
      </c>
      <c r="G247" s="303" t="s">
        <v>628</v>
      </c>
      <c r="H247" s="370"/>
      <c r="I247" s="370"/>
      <c r="J247" s="370"/>
      <c r="K247" s="370"/>
      <c r="L247" s="370"/>
      <c r="M247" s="370"/>
      <c r="N247" s="385" t="s">
        <v>612</v>
      </c>
      <c r="O247" s="352">
        <v>0.25</v>
      </c>
      <c r="P247" s="352">
        <v>0.35</v>
      </c>
      <c r="Q247" s="350" t="s">
        <v>55</v>
      </c>
    </row>
    <row r="248" spans="1:17" ht="15">
      <c r="A248" s="375"/>
      <c r="B248" s="403" t="s">
        <v>130</v>
      </c>
      <c r="C248" s="595">
        <v>46203</v>
      </c>
      <c r="D248" s="391">
        <v>46211</v>
      </c>
      <c r="E248" s="81">
        <v>80</v>
      </c>
      <c r="F248" s="66">
        <v>3621087</v>
      </c>
      <c r="G248" s="303" t="s">
        <v>647</v>
      </c>
      <c r="H248" s="370"/>
      <c r="I248" s="370"/>
      <c r="J248" s="370"/>
      <c r="K248" s="370"/>
      <c r="L248" s="370"/>
      <c r="M248" s="370"/>
      <c r="N248" s="385" t="s">
        <v>612</v>
      </c>
      <c r="O248" s="352">
        <v>0.25</v>
      </c>
      <c r="P248" s="352">
        <v>0.35</v>
      </c>
      <c r="Q248" s="350" t="s">
        <v>55</v>
      </c>
    </row>
    <row r="249" spans="1:17" ht="15">
      <c r="A249" s="375"/>
      <c r="B249" s="403" t="s">
        <v>130</v>
      </c>
      <c r="C249" s="595">
        <v>46203</v>
      </c>
      <c r="D249" s="391">
        <v>46211</v>
      </c>
      <c r="E249" s="81">
        <v>80</v>
      </c>
      <c r="F249" s="66">
        <v>3621084</v>
      </c>
      <c r="G249" s="303" t="s">
        <v>648</v>
      </c>
      <c r="H249" s="370"/>
      <c r="I249" s="370"/>
      <c r="J249" s="370"/>
      <c r="K249" s="370"/>
      <c r="L249" s="370"/>
      <c r="M249" s="370"/>
      <c r="N249" s="385" t="s">
        <v>612</v>
      </c>
      <c r="O249" s="352">
        <v>0.25</v>
      </c>
      <c r="P249" s="352">
        <v>0.35</v>
      </c>
      <c r="Q249" s="350" t="s">
        <v>55</v>
      </c>
    </row>
    <row r="250" spans="1:17" ht="15">
      <c r="A250" s="375"/>
      <c r="B250" s="403" t="s">
        <v>130</v>
      </c>
      <c r="C250" s="595">
        <v>46203</v>
      </c>
      <c r="D250" s="391">
        <v>46211</v>
      </c>
      <c r="E250" s="81">
        <v>80</v>
      </c>
      <c r="F250" s="66">
        <v>3621085</v>
      </c>
      <c r="G250" s="303" t="s">
        <v>649</v>
      </c>
      <c r="H250" s="370"/>
      <c r="I250" s="370"/>
      <c r="J250" s="370"/>
      <c r="K250" s="370"/>
      <c r="L250" s="370"/>
      <c r="M250" s="370"/>
      <c r="N250" s="385" t="s">
        <v>612</v>
      </c>
      <c r="O250" s="352">
        <v>0.25</v>
      </c>
      <c r="P250" s="352">
        <v>0.35</v>
      </c>
      <c r="Q250" s="350" t="s">
        <v>55</v>
      </c>
    </row>
    <row r="251" spans="1:17" ht="15">
      <c r="A251" s="375"/>
      <c r="B251" s="403" t="s">
        <v>130</v>
      </c>
      <c r="C251" s="595">
        <v>46203</v>
      </c>
      <c r="D251" s="391">
        <v>46211</v>
      </c>
      <c r="E251" s="81">
        <v>80</v>
      </c>
      <c r="F251" s="66">
        <v>3759220</v>
      </c>
      <c r="G251" s="303" t="s">
        <v>650</v>
      </c>
      <c r="H251" s="370"/>
      <c r="I251" s="370"/>
      <c r="J251" s="370"/>
      <c r="K251" s="370"/>
      <c r="L251" s="370"/>
      <c r="M251" s="370"/>
      <c r="N251" s="385" t="s">
        <v>612</v>
      </c>
      <c r="O251" s="352">
        <v>0.25</v>
      </c>
      <c r="P251" s="352">
        <v>0.35</v>
      </c>
      <c r="Q251" s="350" t="s">
        <v>55</v>
      </c>
    </row>
    <row r="252" spans="1:17" ht="15">
      <c r="A252" s="375"/>
      <c r="B252" s="403" t="s">
        <v>130</v>
      </c>
      <c r="C252" s="595">
        <v>46203</v>
      </c>
      <c r="D252" s="391">
        <v>46211</v>
      </c>
      <c r="E252" s="81">
        <v>80</v>
      </c>
      <c r="F252" s="66">
        <v>3621083</v>
      </c>
      <c r="G252" s="303" t="s">
        <v>651</v>
      </c>
      <c r="H252" s="370"/>
      <c r="I252" s="370"/>
      <c r="J252" s="370"/>
      <c r="K252" s="370"/>
      <c r="L252" s="370"/>
      <c r="M252" s="370"/>
      <c r="N252" s="385" t="s">
        <v>612</v>
      </c>
      <c r="O252" s="352">
        <v>0.25</v>
      </c>
      <c r="P252" s="352">
        <v>0.35</v>
      </c>
      <c r="Q252" s="350" t="s">
        <v>55</v>
      </c>
    </row>
    <row r="253" spans="1:17" ht="15">
      <c r="A253" s="375"/>
      <c r="B253" s="403" t="s">
        <v>130</v>
      </c>
      <c r="C253" s="595">
        <v>46203</v>
      </c>
      <c r="D253" s="391">
        <v>46211</v>
      </c>
      <c r="E253" s="81">
        <v>80</v>
      </c>
      <c r="F253" s="66">
        <v>48994</v>
      </c>
      <c r="G253" s="303" t="s">
        <v>652</v>
      </c>
      <c r="H253" s="81"/>
      <c r="I253" s="81"/>
      <c r="J253" s="81"/>
      <c r="K253" s="81"/>
      <c r="L253" s="81"/>
      <c r="M253" s="81"/>
      <c r="N253" s="66" t="s">
        <v>653</v>
      </c>
      <c r="O253" s="352">
        <v>0.25</v>
      </c>
      <c r="P253" s="352">
        <v>0.35</v>
      </c>
      <c r="Q253" s="350" t="s">
        <v>55</v>
      </c>
    </row>
    <row r="254" spans="1:17" ht="15">
      <c r="A254" s="375"/>
      <c r="B254" s="403" t="s">
        <v>130</v>
      </c>
      <c r="C254" s="595">
        <v>46203</v>
      </c>
      <c r="D254" s="391">
        <v>46211</v>
      </c>
      <c r="E254" s="81">
        <v>80</v>
      </c>
      <c r="F254" s="66">
        <v>3683620</v>
      </c>
      <c r="G254" s="303" t="s">
        <v>654</v>
      </c>
      <c r="H254" s="81"/>
      <c r="I254" s="81"/>
      <c r="J254" s="81"/>
      <c r="K254" s="81"/>
      <c r="L254" s="81"/>
      <c r="M254" s="81"/>
      <c r="N254" s="66" t="s">
        <v>653</v>
      </c>
      <c r="O254" s="352">
        <v>0.25</v>
      </c>
      <c r="P254" s="352">
        <v>0.35</v>
      </c>
      <c r="Q254" s="350" t="s">
        <v>55</v>
      </c>
    </row>
    <row r="255" spans="1:17" ht="15">
      <c r="A255" s="375"/>
      <c r="B255" s="403" t="s">
        <v>130</v>
      </c>
      <c r="C255" s="595">
        <v>46203</v>
      </c>
      <c r="D255" s="391">
        <v>46211</v>
      </c>
      <c r="E255" s="81">
        <v>80</v>
      </c>
      <c r="F255" s="66">
        <v>3580956</v>
      </c>
      <c r="G255" s="303" t="s">
        <v>655</v>
      </c>
      <c r="H255" s="81"/>
      <c r="I255" s="81"/>
      <c r="J255" s="81"/>
      <c r="K255" s="81"/>
      <c r="L255" s="81"/>
      <c r="M255" s="81"/>
      <c r="N255" s="385" t="s">
        <v>656</v>
      </c>
      <c r="O255" s="352">
        <v>0.25</v>
      </c>
      <c r="P255" s="352">
        <v>0.35</v>
      </c>
      <c r="Q255" s="350" t="s">
        <v>55</v>
      </c>
    </row>
    <row r="256" spans="1:17" ht="15">
      <c r="A256" s="375"/>
      <c r="B256" s="403" t="s">
        <v>130</v>
      </c>
      <c r="C256" s="595">
        <v>46203</v>
      </c>
      <c r="D256" s="391">
        <v>46211</v>
      </c>
      <c r="E256" s="81">
        <v>80</v>
      </c>
      <c r="F256" s="66">
        <v>3836062</v>
      </c>
      <c r="G256" s="303" t="s">
        <v>657</v>
      </c>
      <c r="H256" s="81"/>
      <c r="I256" s="81"/>
      <c r="J256" s="81"/>
      <c r="K256" s="81"/>
      <c r="L256" s="81"/>
      <c r="M256" s="81"/>
      <c r="N256" s="385" t="s">
        <v>656</v>
      </c>
      <c r="O256" s="352">
        <v>0.25</v>
      </c>
      <c r="P256" s="352">
        <v>0.35</v>
      </c>
      <c r="Q256" s="350" t="s">
        <v>55</v>
      </c>
    </row>
    <row r="257" spans="1:17" ht="15">
      <c r="A257" s="375"/>
      <c r="B257" s="403" t="s">
        <v>130</v>
      </c>
      <c r="C257" s="595">
        <v>46203</v>
      </c>
      <c r="D257" s="391">
        <v>46211</v>
      </c>
      <c r="E257" s="81">
        <v>80</v>
      </c>
      <c r="F257" s="66">
        <v>3836065</v>
      </c>
      <c r="G257" s="303" t="s">
        <v>658</v>
      </c>
      <c r="H257" s="81"/>
      <c r="I257" s="81"/>
      <c r="J257" s="81"/>
      <c r="K257" s="81"/>
      <c r="L257" s="81"/>
      <c r="M257" s="81"/>
      <c r="N257" s="385" t="s">
        <v>656</v>
      </c>
      <c r="O257" s="352">
        <v>0.25</v>
      </c>
      <c r="P257" s="352">
        <v>0.35</v>
      </c>
      <c r="Q257" s="350" t="s">
        <v>55</v>
      </c>
    </row>
    <row r="258" spans="1:17" ht="15">
      <c r="A258" s="375"/>
      <c r="B258" s="403" t="s">
        <v>130</v>
      </c>
      <c r="C258" s="595">
        <v>46203</v>
      </c>
      <c r="D258" s="391">
        <v>46211</v>
      </c>
      <c r="E258" s="81">
        <v>80</v>
      </c>
      <c r="F258" s="66">
        <v>1131915</v>
      </c>
      <c r="G258" s="303" t="s">
        <v>659</v>
      </c>
      <c r="H258" s="81"/>
      <c r="I258" s="81"/>
      <c r="J258" s="81"/>
      <c r="K258" s="81"/>
      <c r="L258" s="81"/>
      <c r="M258" s="81"/>
      <c r="N258" s="385" t="s">
        <v>656</v>
      </c>
      <c r="O258" s="352">
        <v>0.25</v>
      </c>
      <c r="P258" s="352">
        <v>0.35</v>
      </c>
      <c r="Q258" s="350" t="s">
        <v>55</v>
      </c>
    </row>
    <row r="259" spans="1:17" ht="15">
      <c r="A259" s="375"/>
      <c r="B259" s="403" t="s">
        <v>130</v>
      </c>
      <c r="C259" s="595">
        <v>46203</v>
      </c>
      <c r="D259" s="391">
        <v>46211</v>
      </c>
      <c r="E259" s="81">
        <v>80</v>
      </c>
      <c r="F259" s="66">
        <v>3474938</v>
      </c>
      <c r="G259" s="303" t="s">
        <v>660</v>
      </c>
      <c r="H259" s="81"/>
      <c r="I259" s="81"/>
      <c r="J259" s="81"/>
      <c r="K259" s="81"/>
      <c r="L259" s="81"/>
      <c r="M259" s="81"/>
      <c r="N259" s="66" t="s">
        <v>661</v>
      </c>
      <c r="O259" s="352">
        <v>0.25</v>
      </c>
      <c r="P259" s="352">
        <v>0.35</v>
      </c>
      <c r="Q259" s="350" t="s">
        <v>55</v>
      </c>
    </row>
    <row r="260" spans="1:17" ht="15">
      <c r="A260" s="375"/>
      <c r="B260" s="403" t="s">
        <v>130</v>
      </c>
      <c r="C260" s="595">
        <v>46203</v>
      </c>
      <c r="D260" s="390">
        <v>46211</v>
      </c>
      <c r="E260" s="81">
        <v>80</v>
      </c>
      <c r="F260" s="146">
        <v>3482453</v>
      </c>
      <c r="G260" s="321" t="s">
        <v>662</v>
      </c>
      <c r="H260" s="81"/>
      <c r="I260" s="81"/>
      <c r="J260" s="81"/>
      <c r="K260" s="81"/>
      <c r="L260" s="81"/>
      <c r="M260" s="81"/>
      <c r="N260" s="66" t="s">
        <v>661</v>
      </c>
      <c r="O260" s="352">
        <v>0.25</v>
      </c>
      <c r="P260" s="352">
        <v>0.35</v>
      </c>
      <c r="Q260" s="350" t="s">
        <v>55</v>
      </c>
    </row>
    <row r="261" spans="1:17" ht="15">
      <c r="A261" s="375"/>
      <c r="B261" s="403" t="s">
        <v>130</v>
      </c>
      <c r="C261" s="595">
        <v>46203</v>
      </c>
      <c r="D261" s="391">
        <v>46211</v>
      </c>
      <c r="E261" s="97">
        <v>80</v>
      </c>
      <c r="F261" s="600">
        <v>3408388</v>
      </c>
      <c r="G261" s="600" t="s">
        <v>663</v>
      </c>
      <c r="H261" s="99"/>
      <c r="I261" s="81"/>
      <c r="J261" s="81"/>
      <c r="K261" s="81"/>
      <c r="L261" s="81"/>
      <c r="M261" s="81"/>
      <c r="N261" s="66" t="s">
        <v>664</v>
      </c>
      <c r="O261" s="352">
        <v>0.25</v>
      </c>
      <c r="P261" s="352">
        <v>0.35</v>
      </c>
      <c r="Q261" s="350" t="s">
        <v>55</v>
      </c>
    </row>
    <row r="262" spans="1:17" ht="15">
      <c r="A262" s="375"/>
      <c r="B262" s="403" t="s">
        <v>130</v>
      </c>
      <c r="C262" s="595">
        <v>46203</v>
      </c>
      <c r="D262" s="391">
        <v>46211</v>
      </c>
      <c r="E262" s="97">
        <v>80</v>
      </c>
      <c r="F262" s="600">
        <v>3408386</v>
      </c>
      <c r="G262" s="600" t="s">
        <v>665</v>
      </c>
      <c r="H262" s="99"/>
      <c r="I262" s="81"/>
      <c r="J262" s="81"/>
      <c r="K262" s="81"/>
      <c r="L262" s="81"/>
      <c r="M262" s="81"/>
      <c r="N262" s="66" t="s">
        <v>664</v>
      </c>
      <c r="O262" s="352">
        <v>0.25</v>
      </c>
      <c r="P262" s="352">
        <v>0.35</v>
      </c>
      <c r="Q262" s="350" t="s">
        <v>55</v>
      </c>
    </row>
    <row r="263" spans="1:17" ht="15">
      <c r="A263" s="375"/>
      <c r="B263" s="403" t="s">
        <v>130</v>
      </c>
      <c r="C263" s="595">
        <v>46203</v>
      </c>
      <c r="D263" s="390">
        <v>46211</v>
      </c>
      <c r="E263" s="97">
        <v>80</v>
      </c>
      <c r="F263" s="600">
        <v>3834925</v>
      </c>
      <c r="G263" s="600" t="s">
        <v>666</v>
      </c>
      <c r="H263" s="99"/>
      <c r="I263" s="81"/>
      <c r="J263" s="81"/>
      <c r="K263" s="81"/>
      <c r="L263" s="81"/>
      <c r="M263" s="81"/>
      <c r="N263" s="66" t="s">
        <v>664</v>
      </c>
      <c r="O263" s="352">
        <v>0.25</v>
      </c>
      <c r="P263" s="352">
        <v>0.35</v>
      </c>
      <c r="Q263" s="350" t="s">
        <v>55</v>
      </c>
    </row>
    <row r="264" spans="1:17" ht="15">
      <c r="A264" s="375"/>
      <c r="B264" s="403" t="s">
        <v>71</v>
      </c>
      <c r="C264" s="595">
        <v>46200</v>
      </c>
      <c r="D264" s="390">
        <v>46209</v>
      </c>
      <c r="E264" s="99">
        <v>80</v>
      </c>
      <c r="F264" s="66">
        <v>1516719</v>
      </c>
      <c r="G264" s="303" t="s">
        <v>667</v>
      </c>
      <c r="H264" s="81"/>
      <c r="I264" s="81"/>
      <c r="J264" s="81"/>
      <c r="K264" s="81"/>
      <c r="L264" s="81"/>
      <c r="M264" s="81"/>
      <c r="N264" s="385" t="s">
        <v>58</v>
      </c>
      <c r="O264" s="352">
        <v>0.3</v>
      </c>
      <c r="P264" s="352">
        <v>0.4</v>
      </c>
      <c r="Q264" s="351" t="s">
        <v>59</v>
      </c>
    </row>
    <row r="265" spans="1:17" ht="15">
      <c r="A265" s="375"/>
      <c r="B265" s="403" t="s">
        <v>71</v>
      </c>
      <c r="C265" s="595">
        <v>46200</v>
      </c>
      <c r="D265" s="390">
        <v>46209</v>
      </c>
      <c r="E265" s="81">
        <v>80</v>
      </c>
      <c r="F265" s="66">
        <v>3530902</v>
      </c>
      <c r="G265" s="303" t="s">
        <v>668</v>
      </c>
      <c r="H265" s="81"/>
      <c r="I265" s="81"/>
      <c r="J265" s="81"/>
      <c r="K265" s="81"/>
      <c r="L265" s="81"/>
      <c r="M265" s="81"/>
      <c r="N265" s="385" t="s">
        <v>58</v>
      </c>
      <c r="O265" s="352">
        <v>0.3</v>
      </c>
      <c r="P265" s="352">
        <v>0.4</v>
      </c>
      <c r="Q265" s="351" t="s">
        <v>59</v>
      </c>
    </row>
    <row r="266" spans="1:17" ht="15">
      <c r="A266" s="375"/>
      <c r="B266" s="159" t="s">
        <v>71</v>
      </c>
      <c r="C266" s="595">
        <v>46200</v>
      </c>
      <c r="D266" s="390">
        <v>46209</v>
      </c>
      <c r="E266" s="81">
        <v>80</v>
      </c>
      <c r="F266" s="66">
        <v>1516721</v>
      </c>
      <c r="G266" s="303" t="s">
        <v>669</v>
      </c>
      <c r="H266" s="81"/>
      <c r="I266" s="81"/>
      <c r="J266" s="81"/>
      <c r="K266" s="81"/>
      <c r="L266" s="81"/>
      <c r="M266" s="81"/>
      <c r="N266" s="385" t="s">
        <v>58</v>
      </c>
      <c r="O266" s="352">
        <v>0.3</v>
      </c>
      <c r="P266" s="352">
        <v>0.4</v>
      </c>
      <c r="Q266" s="351" t="s">
        <v>59</v>
      </c>
    </row>
    <row r="267" spans="1:17" ht="15">
      <c r="A267" s="375"/>
      <c r="B267" s="403" t="s">
        <v>71</v>
      </c>
      <c r="C267" s="595">
        <v>46200</v>
      </c>
      <c r="D267" s="390">
        <v>46209</v>
      </c>
      <c r="E267" s="81">
        <v>80</v>
      </c>
      <c r="F267" s="66">
        <v>447858</v>
      </c>
      <c r="G267" s="303" t="s">
        <v>670</v>
      </c>
      <c r="H267" s="81"/>
      <c r="I267" s="81"/>
      <c r="J267" s="81"/>
      <c r="K267" s="81"/>
      <c r="L267" s="81"/>
      <c r="M267" s="81"/>
      <c r="N267" s="385" t="s">
        <v>30</v>
      </c>
      <c r="O267" s="352">
        <v>0.3</v>
      </c>
      <c r="P267" s="352">
        <v>0.4</v>
      </c>
      <c r="Q267" s="351" t="s">
        <v>59</v>
      </c>
    </row>
    <row r="268" spans="1:17" ht="15">
      <c r="A268" s="375"/>
      <c r="B268" s="403" t="s">
        <v>130</v>
      </c>
      <c r="C268" s="595">
        <v>46200</v>
      </c>
      <c r="D268" s="390">
        <v>46209</v>
      </c>
      <c r="E268" s="81">
        <v>80</v>
      </c>
      <c r="F268" s="66">
        <v>386727</v>
      </c>
      <c r="G268" s="303" t="s">
        <v>671</v>
      </c>
      <c r="H268" s="81"/>
      <c r="I268" s="81"/>
      <c r="J268" s="81"/>
      <c r="K268" s="81"/>
      <c r="L268" s="81"/>
      <c r="M268" s="81"/>
      <c r="N268" s="66" t="s">
        <v>672</v>
      </c>
      <c r="O268" s="352">
        <v>0.3</v>
      </c>
      <c r="P268" s="352">
        <v>0.4</v>
      </c>
      <c r="Q268" s="351" t="s">
        <v>59</v>
      </c>
    </row>
    <row r="269" spans="1:17" ht="15">
      <c r="A269" s="375"/>
      <c r="B269" s="403" t="s">
        <v>130</v>
      </c>
      <c r="C269" s="595">
        <v>46200</v>
      </c>
      <c r="D269" s="390">
        <v>46209</v>
      </c>
      <c r="E269" s="81">
        <v>80</v>
      </c>
      <c r="F269" s="66">
        <v>179356</v>
      </c>
      <c r="G269" s="303" t="s">
        <v>673</v>
      </c>
      <c r="H269" s="81"/>
      <c r="I269" s="81"/>
      <c r="J269" s="81"/>
      <c r="K269" s="81"/>
      <c r="L269" s="81"/>
      <c r="M269" s="81"/>
      <c r="N269" s="66" t="s">
        <v>672</v>
      </c>
      <c r="O269" s="352">
        <v>0.3</v>
      </c>
      <c r="P269" s="352">
        <v>0.4</v>
      </c>
      <c r="Q269" s="351" t="s">
        <v>59</v>
      </c>
    </row>
    <row r="270" spans="1:17" ht="15">
      <c r="A270" s="375"/>
      <c r="B270" s="403" t="s">
        <v>71</v>
      </c>
      <c r="C270" s="595">
        <v>46200</v>
      </c>
      <c r="D270" s="390">
        <v>46209</v>
      </c>
      <c r="E270" s="81">
        <v>80</v>
      </c>
      <c r="F270" s="66">
        <v>1647527</v>
      </c>
      <c r="G270" s="303" t="s">
        <v>674</v>
      </c>
      <c r="H270" s="81"/>
      <c r="I270" s="81"/>
      <c r="J270" s="81"/>
      <c r="K270" s="81"/>
      <c r="L270" s="81"/>
      <c r="M270" s="81"/>
      <c r="N270" s="522" t="s">
        <v>675</v>
      </c>
      <c r="O270" s="352">
        <v>0.3</v>
      </c>
      <c r="P270" s="352">
        <v>0.4</v>
      </c>
      <c r="Q270" s="351" t="s">
        <v>59</v>
      </c>
    </row>
    <row r="271" spans="1:17" ht="15">
      <c r="A271" s="375"/>
      <c r="B271" s="403" t="s">
        <v>71</v>
      </c>
      <c r="C271" s="595">
        <v>46200</v>
      </c>
      <c r="D271" s="390">
        <v>46209</v>
      </c>
      <c r="E271" s="81">
        <v>80</v>
      </c>
      <c r="F271" s="66">
        <v>1780899</v>
      </c>
      <c r="G271" s="303" t="s">
        <v>676</v>
      </c>
      <c r="H271" s="81"/>
      <c r="I271" s="81"/>
      <c r="J271" s="81"/>
      <c r="K271" s="81"/>
      <c r="L271" s="81"/>
      <c r="M271" s="81"/>
      <c r="N271" s="385" t="s">
        <v>675</v>
      </c>
      <c r="O271" s="352">
        <v>0.3</v>
      </c>
      <c r="P271" s="352">
        <v>0.4</v>
      </c>
      <c r="Q271" s="351" t="s">
        <v>59</v>
      </c>
    </row>
    <row r="272" spans="1:17" ht="15">
      <c r="A272" s="375"/>
      <c r="B272" s="403" t="s">
        <v>130</v>
      </c>
      <c r="C272" s="595">
        <v>46200</v>
      </c>
      <c r="D272" s="390">
        <v>46209</v>
      </c>
      <c r="E272" s="81">
        <v>80</v>
      </c>
      <c r="F272" s="66">
        <v>49092</v>
      </c>
      <c r="G272" s="303" t="s">
        <v>677</v>
      </c>
      <c r="H272" s="81"/>
      <c r="I272" s="81"/>
      <c r="J272" s="81"/>
      <c r="K272" s="81"/>
      <c r="L272" s="81"/>
      <c r="M272" s="81"/>
      <c r="N272" s="66" t="s">
        <v>678</v>
      </c>
      <c r="O272" s="352">
        <v>0.3</v>
      </c>
      <c r="P272" s="352">
        <v>0.4</v>
      </c>
      <c r="Q272" s="351" t="s">
        <v>59</v>
      </c>
    </row>
    <row r="273" spans="1:17" ht="15">
      <c r="A273" s="375"/>
      <c r="B273" s="403" t="s">
        <v>130</v>
      </c>
      <c r="C273" s="595">
        <v>46200</v>
      </c>
      <c r="D273" s="390">
        <v>46209</v>
      </c>
      <c r="E273" s="81">
        <v>80</v>
      </c>
      <c r="F273" s="66">
        <v>1285666</v>
      </c>
      <c r="G273" s="303" t="s">
        <v>679</v>
      </c>
      <c r="H273" s="81"/>
      <c r="I273" s="81"/>
      <c r="J273" s="81"/>
      <c r="K273" s="81"/>
      <c r="L273" s="81"/>
      <c r="M273" s="81"/>
      <c r="N273" s="66" t="s">
        <v>680</v>
      </c>
      <c r="O273" s="352">
        <v>0.3</v>
      </c>
      <c r="P273" s="352">
        <v>0.4</v>
      </c>
      <c r="Q273" s="351" t="s">
        <v>59</v>
      </c>
    </row>
    <row r="274" spans="1:17" ht="15">
      <c r="A274" s="375"/>
      <c r="B274" s="403" t="s">
        <v>130</v>
      </c>
      <c r="C274" s="595">
        <v>46200</v>
      </c>
      <c r="D274" s="390">
        <v>46209</v>
      </c>
      <c r="E274" s="81">
        <v>80</v>
      </c>
      <c r="F274" s="66">
        <v>49425</v>
      </c>
      <c r="G274" s="303" t="s">
        <v>681</v>
      </c>
      <c r="H274" s="81"/>
      <c r="I274" s="81"/>
      <c r="J274" s="81"/>
      <c r="K274" s="81"/>
      <c r="L274" s="81"/>
      <c r="M274" s="81"/>
      <c r="N274" s="66" t="s">
        <v>680</v>
      </c>
      <c r="O274" s="352">
        <v>0.3</v>
      </c>
      <c r="P274" s="352">
        <v>0.4</v>
      </c>
      <c r="Q274" s="351" t="s">
        <v>59</v>
      </c>
    </row>
    <row r="275" spans="1:17" ht="15">
      <c r="A275" s="375"/>
      <c r="B275" s="403" t="s">
        <v>130</v>
      </c>
      <c r="C275" s="595">
        <v>46200</v>
      </c>
      <c r="D275" s="390">
        <v>46209</v>
      </c>
      <c r="E275" s="81">
        <v>80</v>
      </c>
      <c r="F275" s="66">
        <v>1285665</v>
      </c>
      <c r="G275" s="303" t="s">
        <v>682</v>
      </c>
      <c r="H275" s="81"/>
      <c r="I275" s="81"/>
      <c r="J275" s="81"/>
      <c r="K275" s="81"/>
      <c r="L275" s="81"/>
      <c r="M275" s="81"/>
      <c r="N275" s="66" t="s">
        <v>678</v>
      </c>
      <c r="O275" s="352">
        <v>0.3</v>
      </c>
      <c r="P275" s="352">
        <v>0.4</v>
      </c>
      <c r="Q275" s="351" t="s">
        <v>59</v>
      </c>
    </row>
    <row r="276" spans="1:17" ht="15">
      <c r="A276" s="375"/>
      <c r="B276" s="403" t="s">
        <v>71</v>
      </c>
      <c r="C276" s="595">
        <v>46200</v>
      </c>
      <c r="D276" s="390">
        <v>46209</v>
      </c>
      <c r="E276" s="81">
        <v>80</v>
      </c>
      <c r="F276" s="66">
        <v>410791</v>
      </c>
      <c r="G276" s="303" t="s">
        <v>683</v>
      </c>
      <c r="H276" s="81"/>
      <c r="I276" s="81"/>
      <c r="J276" s="81"/>
      <c r="K276" s="81"/>
      <c r="L276" s="81"/>
      <c r="M276" s="81"/>
      <c r="N276" s="522" t="s">
        <v>684</v>
      </c>
      <c r="O276" s="352">
        <v>0.3</v>
      </c>
      <c r="P276" s="352">
        <v>0.4</v>
      </c>
      <c r="Q276" s="351" t="s">
        <v>59</v>
      </c>
    </row>
    <row r="277" spans="1:17" ht="15">
      <c r="A277" s="375"/>
      <c r="B277" s="403" t="s">
        <v>71</v>
      </c>
      <c r="C277" s="595">
        <v>46200</v>
      </c>
      <c r="D277" s="390">
        <v>46209</v>
      </c>
      <c r="E277" s="81">
        <v>80</v>
      </c>
      <c r="F277" s="66">
        <v>1766263</v>
      </c>
      <c r="G277" s="303" t="s">
        <v>685</v>
      </c>
      <c r="H277" s="81"/>
      <c r="I277" s="81"/>
      <c r="J277" s="81"/>
      <c r="K277" s="81"/>
      <c r="L277" s="81"/>
      <c r="M277" s="81"/>
      <c r="N277" s="385" t="s">
        <v>684</v>
      </c>
      <c r="O277" s="352">
        <v>0.3</v>
      </c>
      <c r="P277" s="352">
        <v>0.4</v>
      </c>
      <c r="Q277" s="351" t="s">
        <v>59</v>
      </c>
    </row>
    <row r="278" spans="1:17" ht="15">
      <c r="A278" s="375"/>
      <c r="B278" s="403" t="s">
        <v>71</v>
      </c>
      <c r="C278" s="595">
        <v>46200</v>
      </c>
      <c r="D278" s="390">
        <v>46209</v>
      </c>
      <c r="E278" s="81">
        <v>80</v>
      </c>
      <c r="F278" s="66">
        <v>3817441</v>
      </c>
      <c r="G278" s="303" t="s">
        <v>686</v>
      </c>
      <c r="H278" s="81"/>
      <c r="I278" s="81"/>
      <c r="J278" s="81"/>
      <c r="K278" s="81"/>
      <c r="L278" s="81"/>
      <c r="M278" s="81"/>
      <c r="N278" s="385" t="s">
        <v>687</v>
      </c>
      <c r="O278" s="352">
        <v>0.3</v>
      </c>
      <c r="P278" s="352">
        <v>0.4</v>
      </c>
      <c r="Q278" s="351" t="s">
        <v>59</v>
      </c>
    </row>
    <row r="279" spans="1:17" ht="15">
      <c r="A279" s="375"/>
      <c r="B279" s="403" t="s">
        <v>71</v>
      </c>
      <c r="C279" s="595">
        <v>46200</v>
      </c>
      <c r="D279" s="390">
        <v>46209</v>
      </c>
      <c r="E279" s="81">
        <v>80</v>
      </c>
      <c r="F279" s="66">
        <v>3214227</v>
      </c>
      <c r="G279" s="303" t="s">
        <v>688</v>
      </c>
      <c r="H279" s="81"/>
      <c r="I279" s="81"/>
      <c r="J279" s="81"/>
      <c r="K279" s="81"/>
      <c r="L279" s="81"/>
      <c r="M279" s="81"/>
      <c r="N279" s="385" t="s">
        <v>689</v>
      </c>
      <c r="O279" s="352">
        <v>0.3</v>
      </c>
      <c r="P279" s="352">
        <v>0.4</v>
      </c>
      <c r="Q279" s="351" t="s">
        <v>59</v>
      </c>
    </row>
    <row r="280" spans="1:17" ht="15">
      <c r="A280" s="375"/>
      <c r="B280" s="403" t="s">
        <v>71</v>
      </c>
      <c r="C280" s="595">
        <v>46200</v>
      </c>
      <c r="D280" s="390">
        <v>46209</v>
      </c>
      <c r="E280" s="81">
        <v>80</v>
      </c>
      <c r="F280" s="66">
        <v>3527399</v>
      </c>
      <c r="G280" s="303" t="s">
        <v>690</v>
      </c>
      <c r="H280" s="81"/>
      <c r="I280" s="81"/>
      <c r="J280" s="81"/>
      <c r="K280" s="81"/>
      <c r="L280" s="81"/>
      <c r="M280" s="81"/>
      <c r="N280" s="385" t="s">
        <v>687</v>
      </c>
      <c r="O280" s="352">
        <v>0.3</v>
      </c>
      <c r="P280" s="352">
        <v>0.4</v>
      </c>
      <c r="Q280" s="351" t="s">
        <v>59</v>
      </c>
    </row>
    <row r="281" spans="1:17" ht="15">
      <c r="A281" s="375"/>
      <c r="B281" s="403" t="s">
        <v>71</v>
      </c>
      <c r="C281" s="595">
        <v>46200</v>
      </c>
      <c r="D281" s="390">
        <v>46209</v>
      </c>
      <c r="E281" s="81">
        <v>80</v>
      </c>
      <c r="F281" s="66">
        <v>262244</v>
      </c>
      <c r="G281" s="303" t="s">
        <v>691</v>
      </c>
      <c r="H281" s="81"/>
      <c r="I281" s="81"/>
      <c r="J281" s="81"/>
      <c r="K281" s="81"/>
      <c r="L281" s="81"/>
      <c r="M281" s="81"/>
      <c r="N281" s="385" t="s">
        <v>689</v>
      </c>
      <c r="O281" s="352">
        <v>0.3</v>
      </c>
      <c r="P281" s="352">
        <v>0.4</v>
      </c>
      <c r="Q281" s="351" t="s">
        <v>59</v>
      </c>
    </row>
    <row r="282" spans="1:17" ht="15">
      <c r="A282" s="375"/>
      <c r="B282" s="403" t="s">
        <v>71</v>
      </c>
      <c r="C282" s="595">
        <v>46200</v>
      </c>
      <c r="D282" s="390">
        <v>46209</v>
      </c>
      <c r="E282" s="81">
        <v>80</v>
      </c>
      <c r="F282" s="66">
        <v>3092865</v>
      </c>
      <c r="G282" s="303" t="s">
        <v>692</v>
      </c>
      <c r="H282" s="81"/>
      <c r="I282" s="81"/>
      <c r="J282" s="81"/>
      <c r="K282" s="81"/>
      <c r="L282" s="81"/>
      <c r="M282" s="81"/>
      <c r="N282" s="385" t="s">
        <v>689</v>
      </c>
      <c r="O282" s="352">
        <v>0.3</v>
      </c>
      <c r="P282" s="352">
        <v>0.4</v>
      </c>
      <c r="Q282" s="351" t="s">
        <v>59</v>
      </c>
    </row>
    <row r="283" spans="1:17" ht="15">
      <c r="A283" s="375"/>
      <c r="B283" s="403" t="s">
        <v>130</v>
      </c>
      <c r="C283" s="595">
        <v>46200</v>
      </c>
      <c r="D283" s="390">
        <v>46209</v>
      </c>
      <c r="E283" s="81">
        <v>80</v>
      </c>
      <c r="F283" s="66">
        <v>94576</v>
      </c>
      <c r="G283" s="303" t="s">
        <v>693</v>
      </c>
      <c r="H283" s="81"/>
      <c r="I283" s="81"/>
      <c r="J283" s="81"/>
      <c r="K283" s="81"/>
      <c r="L283" s="81"/>
      <c r="M283" s="81"/>
      <c r="N283" s="66" t="s">
        <v>694</v>
      </c>
      <c r="O283" s="352">
        <v>0.3</v>
      </c>
      <c r="P283" s="352">
        <v>0.4</v>
      </c>
      <c r="Q283" s="351" t="s">
        <v>59</v>
      </c>
    </row>
    <row r="284" spans="1:17" ht="15">
      <c r="A284" s="375"/>
      <c r="B284" s="403" t="s">
        <v>130</v>
      </c>
      <c r="C284" s="595">
        <v>46200</v>
      </c>
      <c r="D284" s="390">
        <v>46209</v>
      </c>
      <c r="E284" s="81">
        <v>80</v>
      </c>
      <c r="F284" s="66">
        <v>3756133</v>
      </c>
      <c r="G284" s="303" t="s">
        <v>695</v>
      </c>
      <c r="H284" s="81"/>
      <c r="I284" s="81"/>
      <c r="J284" s="81"/>
      <c r="K284" s="81"/>
      <c r="L284" s="81"/>
      <c r="M284" s="81"/>
      <c r="N284" s="66" t="s">
        <v>694</v>
      </c>
      <c r="O284" s="352">
        <v>0.3</v>
      </c>
      <c r="P284" s="352">
        <v>0.4</v>
      </c>
      <c r="Q284" s="351" t="s">
        <v>59</v>
      </c>
    </row>
    <row r="285" spans="1:17" ht="15">
      <c r="A285" s="375"/>
      <c r="B285" s="403" t="s">
        <v>130</v>
      </c>
      <c r="C285" s="595">
        <v>46200</v>
      </c>
      <c r="D285" s="390">
        <v>46209</v>
      </c>
      <c r="E285" s="81">
        <v>80</v>
      </c>
      <c r="F285" s="66">
        <v>3756134</v>
      </c>
      <c r="G285" s="303" t="s">
        <v>696</v>
      </c>
      <c r="H285" s="81"/>
      <c r="I285" s="81"/>
      <c r="J285" s="81"/>
      <c r="K285" s="81"/>
      <c r="L285" s="81"/>
      <c r="M285" s="81"/>
      <c r="N285" s="66" t="s">
        <v>694</v>
      </c>
      <c r="O285" s="352">
        <v>0.3</v>
      </c>
      <c r="P285" s="352">
        <v>0.4</v>
      </c>
      <c r="Q285" s="351" t="s">
        <v>59</v>
      </c>
    </row>
    <row r="286" spans="1:17" ht="15">
      <c r="A286" s="375"/>
      <c r="B286" s="403" t="s">
        <v>130</v>
      </c>
      <c r="C286" s="595">
        <v>46200</v>
      </c>
      <c r="D286" s="390">
        <v>46209</v>
      </c>
      <c r="E286" s="81">
        <v>80</v>
      </c>
      <c r="F286" s="66">
        <v>3756135</v>
      </c>
      <c r="G286" s="303" t="s">
        <v>697</v>
      </c>
      <c r="H286" s="81"/>
      <c r="I286" s="81"/>
      <c r="J286" s="81"/>
      <c r="K286" s="81"/>
      <c r="L286" s="81"/>
      <c r="M286" s="81"/>
      <c r="N286" s="66" t="s">
        <v>694</v>
      </c>
      <c r="O286" s="352">
        <v>0.3</v>
      </c>
      <c r="P286" s="352">
        <v>0.4</v>
      </c>
      <c r="Q286" s="351" t="s">
        <v>59</v>
      </c>
    </row>
    <row r="287" spans="1:17" ht="15">
      <c r="A287" s="375"/>
      <c r="B287" s="403" t="s">
        <v>130</v>
      </c>
      <c r="C287" s="595">
        <v>46200</v>
      </c>
      <c r="D287" s="390">
        <v>46209</v>
      </c>
      <c r="E287" s="81">
        <v>80</v>
      </c>
      <c r="F287" s="66">
        <v>3810787</v>
      </c>
      <c r="G287" s="303" t="s">
        <v>698</v>
      </c>
      <c r="H287" s="81"/>
      <c r="I287" s="81"/>
      <c r="J287" s="81"/>
      <c r="K287" s="81"/>
      <c r="L287" s="81"/>
      <c r="M287" s="81"/>
      <c r="N287" s="66" t="s">
        <v>694</v>
      </c>
      <c r="O287" s="352">
        <v>0.3</v>
      </c>
      <c r="P287" s="352">
        <v>0.4</v>
      </c>
      <c r="Q287" s="351" t="s">
        <v>59</v>
      </c>
    </row>
    <row r="288" spans="1:17" ht="15">
      <c r="A288" s="375"/>
      <c r="B288" s="403" t="s">
        <v>71</v>
      </c>
      <c r="C288" s="595">
        <v>46200</v>
      </c>
      <c r="D288" s="390">
        <v>46209</v>
      </c>
      <c r="E288" s="81">
        <v>80</v>
      </c>
      <c r="F288" s="66">
        <v>336482</v>
      </c>
      <c r="G288" s="303" t="s">
        <v>699</v>
      </c>
      <c r="H288" s="81"/>
      <c r="I288" s="81"/>
      <c r="J288" s="81"/>
      <c r="K288" s="81"/>
      <c r="L288" s="81"/>
      <c r="M288" s="81"/>
      <c r="N288" s="385" t="s">
        <v>700</v>
      </c>
      <c r="O288" s="352">
        <v>0.3</v>
      </c>
      <c r="P288" s="352">
        <v>0.4</v>
      </c>
      <c r="Q288" s="351" t="s">
        <v>59</v>
      </c>
    </row>
    <row r="289" spans="1:17" ht="15">
      <c r="A289" s="375"/>
      <c r="B289" s="403" t="s">
        <v>71</v>
      </c>
      <c r="C289" s="595">
        <v>46200</v>
      </c>
      <c r="D289" s="390">
        <v>46209</v>
      </c>
      <c r="E289" s="81">
        <v>80</v>
      </c>
      <c r="F289" s="66">
        <v>3335350</v>
      </c>
      <c r="G289" s="303" t="s">
        <v>701</v>
      </c>
      <c r="H289" s="81"/>
      <c r="I289" s="81"/>
      <c r="J289" s="81"/>
      <c r="K289" s="81"/>
      <c r="L289" s="81"/>
      <c r="M289" s="81"/>
      <c r="N289" s="385" t="s">
        <v>700</v>
      </c>
      <c r="O289" s="352">
        <v>0.3</v>
      </c>
      <c r="P289" s="352">
        <v>0.4</v>
      </c>
      <c r="Q289" s="351" t="s">
        <v>59</v>
      </c>
    </row>
    <row r="290" spans="1:17" ht="15">
      <c r="A290" s="375"/>
      <c r="B290" s="403" t="s">
        <v>71</v>
      </c>
      <c r="C290" s="595">
        <v>46200</v>
      </c>
      <c r="D290" s="390">
        <v>46209</v>
      </c>
      <c r="E290" s="81">
        <v>80</v>
      </c>
      <c r="F290" s="66">
        <v>3712506</v>
      </c>
      <c r="G290" s="303" t="s">
        <v>702</v>
      </c>
      <c r="H290" s="81"/>
      <c r="I290" s="81"/>
      <c r="J290" s="81"/>
      <c r="K290" s="81"/>
      <c r="L290" s="81"/>
      <c r="M290" s="81"/>
      <c r="N290" s="385" t="s">
        <v>700</v>
      </c>
      <c r="O290" s="352">
        <v>0.3</v>
      </c>
      <c r="P290" s="352">
        <v>0.4</v>
      </c>
      <c r="Q290" s="351" t="s">
        <v>59</v>
      </c>
    </row>
    <row r="291" spans="1:17" ht="15">
      <c r="A291" s="375"/>
      <c r="B291" s="403" t="s">
        <v>130</v>
      </c>
      <c r="C291" s="595">
        <v>46200</v>
      </c>
      <c r="D291" s="390">
        <v>46209</v>
      </c>
      <c r="E291" s="81">
        <v>80</v>
      </c>
      <c r="F291" s="66">
        <v>3501233</v>
      </c>
      <c r="G291" s="303" t="s">
        <v>703</v>
      </c>
      <c r="H291" s="81"/>
      <c r="I291" s="81"/>
      <c r="J291" s="81"/>
      <c r="K291" s="81"/>
      <c r="L291" s="81"/>
      <c r="M291" s="81"/>
      <c r="N291" s="66" t="s">
        <v>704</v>
      </c>
      <c r="O291" s="352">
        <v>0.3</v>
      </c>
      <c r="P291" s="352">
        <v>0.4</v>
      </c>
      <c r="Q291" s="351" t="s">
        <v>59</v>
      </c>
    </row>
    <row r="292" spans="1:17" ht="15">
      <c r="A292" s="375"/>
      <c r="B292" s="403" t="s">
        <v>130</v>
      </c>
      <c r="C292" s="595">
        <v>46200</v>
      </c>
      <c r="D292" s="390">
        <v>46209</v>
      </c>
      <c r="E292" s="81">
        <v>80</v>
      </c>
      <c r="F292" s="66">
        <v>3501231</v>
      </c>
      <c r="G292" s="303" t="s">
        <v>705</v>
      </c>
      <c r="H292" s="81"/>
      <c r="I292" s="81"/>
      <c r="J292" s="81"/>
      <c r="K292" s="81"/>
      <c r="L292" s="81"/>
      <c r="M292" s="81"/>
      <c r="N292" s="66" t="s">
        <v>704</v>
      </c>
      <c r="O292" s="352">
        <v>0.3</v>
      </c>
      <c r="P292" s="352">
        <v>0.4</v>
      </c>
      <c r="Q292" s="351" t="s">
        <v>59</v>
      </c>
    </row>
    <row r="293" spans="1:17" ht="15">
      <c r="A293" s="375"/>
      <c r="B293" s="403" t="s">
        <v>130</v>
      </c>
      <c r="C293" s="595">
        <v>46200</v>
      </c>
      <c r="D293" s="390">
        <v>46209</v>
      </c>
      <c r="E293" s="81">
        <v>80</v>
      </c>
      <c r="F293" s="66">
        <v>3501232</v>
      </c>
      <c r="G293" s="303" t="s">
        <v>706</v>
      </c>
      <c r="H293" s="81"/>
      <c r="I293" s="81"/>
      <c r="J293" s="81"/>
      <c r="K293" s="81"/>
      <c r="L293" s="81"/>
      <c r="M293" s="81"/>
      <c r="N293" s="66" t="s">
        <v>704</v>
      </c>
      <c r="O293" s="352">
        <v>0.3</v>
      </c>
      <c r="P293" s="352">
        <v>0.4</v>
      </c>
      <c r="Q293" s="351" t="s">
        <v>59</v>
      </c>
    </row>
    <row r="294" spans="1:17" ht="15">
      <c r="A294" s="375"/>
      <c r="B294" s="403" t="s">
        <v>130</v>
      </c>
      <c r="C294" s="595">
        <v>46200</v>
      </c>
      <c r="D294" s="390">
        <v>46209</v>
      </c>
      <c r="E294" s="81">
        <v>80</v>
      </c>
      <c r="F294" s="66">
        <v>847705</v>
      </c>
      <c r="G294" s="303" t="s">
        <v>707</v>
      </c>
      <c r="H294" s="81"/>
      <c r="I294" s="81"/>
      <c r="J294" s="81"/>
      <c r="K294" s="81"/>
      <c r="L294" s="81"/>
      <c r="M294" s="81"/>
      <c r="N294" s="66" t="s">
        <v>304</v>
      </c>
      <c r="O294" s="352">
        <v>0.3</v>
      </c>
      <c r="P294" s="352">
        <v>0.4</v>
      </c>
      <c r="Q294" s="351" t="s">
        <v>59</v>
      </c>
    </row>
    <row r="295" spans="1:17" ht="15">
      <c r="A295" s="375"/>
      <c r="B295" s="403" t="s">
        <v>71</v>
      </c>
      <c r="C295" s="595">
        <v>46200</v>
      </c>
      <c r="D295" s="390">
        <v>46209</v>
      </c>
      <c r="E295" s="81">
        <v>80</v>
      </c>
      <c r="F295" s="66">
        <v>785682</v>
      </c>
      <c r="G295" s="303" t="s">
        <v>708</v>
      </c>
      <c r="H295" s="81"/>
      <c r="I295" s="81"/>
      <c r="J295" s="81"/>
      <c r="K295" s="81"/>
      <c r="L295" s="81"/>
      <c r="M295" s="81"/>
      <c r="N295" s="385" t="s">
        <v>304</v>
      </c>
      <c r="O295" s="352">
        <v>0.3</v>
      </c>
      <c r="P295" s="352">
        <v>0.4</v>
      </c>
      <c r="Q295" s="351" t="s">
        <v>59</v>
      </c>
    </row>
    <row r="296" spans="1:17" ht="15">
      <c r="A296" s="375"/>
      <c r="B296" s="159" t="s">
        <v>71</v>
      </c>
      <c r="C296" s="595">
        <v>46200</v>
      </c>
      <c r="D296" s="390">
        <v>46209</v>
      </c>
      <c r="E296" s="81">
        <v>80</v>
      </c>
      <c r="F296" s="66">
        <v>165358</v>
      </c>
      <c r="G296" s="303" t="s">
        <v>709</v>
      </c>
      <c r="H296" s="81"/>
      <c r="I296" s="81"/>
      <c r="J296" s="81"/>
      <c r="K296" s="81"/>
      <c r="L296" s="81"/>
      <c r="M296" s="81"/>
      <c r="N296" s="385" t="s">
        <v>710</v>
      </c>
      <c r="O296" s="352">
        <v>0.3</v>
      </c>
      <c r="P296" s="352">
        <v>0.4</v>
      </c>
      <c r="Q296" s="351" t="s">
        <v>59</v>
      </c>
    </row>
    <row r="297" spans="1:17" ht="15">
      <c r="A297" s="375"/>
      <c r="B297" s="159" t="s">
        <v>71</v>
      </c>
      <c r="C297" s="595">
        <v>46200</v>
      </c>
      <c r="D297" s="390">
        <v>46209</v>
      </c>
      <c r="E297" s="81">
        <v>80</v>
      </c>
      <c r="F297" s="66">
        <v>1366460</v>
      </c>
      <c r="G297" s="303" t="s">
        <v>711</v>
      </c>
      <c r="H297" s="81"/>
      <c r="I297" s="81"/>
      <c r="J297" s="81"/>
      <c r="K297" s="81"/>
      <c r="L297" s="81"/>
      <c r="M297" s="81"/>
      <c r="N297" s="385" t="s">
        <v>710</v>
      </c>
      <c r="O297" s="352">
        <v>0.3</v>
      </c>
      <c r="P297" s="352">
        <v>0.4</v>
      </c>
      <c r="Q297" s="351" t="s">
        <v>59</v>
      </c>
    </row>
    <row r="298" spans="1:17" ht="15">
      <c r="A298" s="375"/>
      <c r="B298" s="159" t="s">
        <v>71</v>
      </c>
      <c r="C298" s="595">
        <v>46200</v>
      </c>
      <c r="D298" s="390">
        <v>46209</v>
      </c>
      <c r="E298" s="81">
        <v>80</v>
      </c>
      <c r="F298" s="66">
        <v>1053191</v>
      </c>
      <c r="G298" s="303" t="s">
        <v>712</v>
      </c>
      <c r="H298" s="81"/>
      <c r="I298" s="81"/>
      <c r="J298" s="81"/>
      <c r="K298" s="81"/>
      <c r="L298" s="81"/>
      <c r="M298" s="81"/>
      <c r="N298" s="385" t="s">
        <v>713</v>
      </c>
      <c r="O298" s="352">
        <v>0.3</v>
      </c>
      <c r="P298" s="352">
        <v>0.4</v>
      </c>
      <c r="Q298" s="351" t="s">
        <v>59</v>
      </c>
    </row>
    <row r="299" spans="1:17" ht="15">
      <c r="A299" s="375"/>
      <c r="B299" s="159" t="s">
        <v>71</v>
      </c>
      <c r="C299" s="595">
        <v>46200</v>
      </c>
      <c r="D299" s="390">
        <v>46209</v>
      </c>
      <c r="E299" s="81">
        <v>80</v>
      </c>
      <c r="F299" s="66">
        <v>3763608</v>
      </c>
      <c r="G299" s="303" t="s">
        <v>714</v>
      </c>
      <c r="H299" s="81"/>
      <c r="I299" s="81"/>
      <c r="J299" s="81"/>
      <c r="K299" s="81"/>
      <c r="L299" s="81"/>
      <c r="M299" s="81"/>
      <c r="N299" s="385" t="s">
        <v>713</v>
      </c>
      <c r="O299" s="352">
        <v>0.3</v>
      </c>
      <c r="P299" s="352">
        <v>0.4</v>
      </c>
      <c r="Q299" s="351" t="s">
        <v>59</v>
      </c>
    </row>
    <row r="300" spans="1:17" ht="15">
      <c r="A300" s="375"/>
      <c r="B300" s="159" t="s">
        <v>71</v>
      </c>
      <c r="C300" s="595">
        <v>46200</v>
      </c>
      <c r="D300" s="390">
        <v>46209</v>
      </c>
      <c r="E300" s="81">
        <v>80</v>
      </c>
      <c r="F300" s="66">
        <v>114856</v>
      </c>
      <c r="G300" s="303" t="s">
        <v>715</v>
      </c>
      <c r="H300" s="81"/>
      <c r="I300" s="81"/>
      <c r="J300" s="81"/>
      <c r="K300" s="81"/>
      <c r="L300" s="81"/>
      <c r="M300" s="81"/>
      <c r="N300" s="385" t="s">
        <v>716</v>
      </c>
      <c r="O300" s="352">
        <v>0.3</v>
      </c>
      <c r="P300" s="352">
        <v>0.4</v>
      </c>
      <c r="Q300" s="351" t="s">
        <v>59</v>
      </c>
    </row>
    <row r="301" spans="1:17" ht="15">
      <c r="A301" s="375"/>
      <c r="B301" s="159" t="s">
        <v>71</v>
      </c>
      <c r="C301" s="595">
        <v>46200</v>
      </c>
      <c r="D301" s="390">
        <v>46209</v>
      </c>
      <c r="E301" s="81">
        <v>80</v>
      </c>
      <c r="F301" s="66">
        <v>115150</v>
      </c>
      <c r="G301" s="303" t="s">
        <v>717</v>
      </c>
      <c r="H301" s="81"/>
      <c r="I301" s="81"/>
      <c r="J301" s="81"/>
      <c r="K301" s="81"/>
      <c r="L301" s="81"/>
      <c r="M301" s="81"/>
      <c r="N301" s="385" t="s">
        <v>716</v>
      </c>
      <c r="O301" s="352">
        <v>0.3</v>
      </c>
      <c r="P301" s="352">
        <v>0.4</v>
      </c>
      <c r="Q301" s="351" t="s">
        <v>59</v>
      </c>
    </row>
    <row r="302" spans="1:17" ht="15">
      <c r="A302" s="375"/>
      <c r="B302" s="159" t="s">
        <v>71</v>
      </c>
      <c r="C302" s="595">
        <v>46200</v>
      </c>
      <c r="D302" s="390">
        <v>46209</v>
      </c>
      <c r="E302" s="81">
        <v>80</v>
      </c>
      <c r="F302" s="66">
        <v>3760217</v>
      </c>
      <c r="G302" s="303" t="s">
        <v>718</v>
      </c>
      <c r="H302" s="81"/>
      <c r="I302" s="81"/>
      <c r="J302" s="81"/>
      <c r="K302" s="81"/>
      <c r="L302" s="81"/>
      <c r="M302" s="81"/>
      <c r="N302" s="385" t="s">
        <v>719</v>
      </c>
      <c r="O302" s="352">
        <v>0.3</v>
      </c>
      <c r="P302" s="352">
        <v>0.4</v>
      </c>
      <c r="Q302" s="351" t="s">
        <v>59</v>
      </c>
    </row>
    <row r="303" spans="1:17" ht="15">
      <c r="A303" s="395"/>
      <c r="B303" s="159" t="s">
        <v>71</v>
      </c>
      <c r="C303" s="599">
        <v>46200</v>
      </c>
      <c r="D303" s="396">
        <v>46209</v>
      </c>
      <c r="E303" s="94">
        <v>80</v>
      </c>
      <c r="F303" s="146">
        <v>3439427</v>
      </c>
      <c r="G303" s="321" t="s">
        <v>720</v>
      </c>
      <c r="H303" s="94"/>
      <c r="I303" s="94"/>
      <c r="J303" s="94"/>
      <c r="K303" s="94"/>
      <c r="L303" s="94"/>
      <c r="M303" s="94"/>
      <c r="N303" s="397" t="s">
        <v>721</v>
      </c>
      <c r="O303" s="364">
        <v>0.3</v>
      </c>
      <c r="P303" s="364">
        <v>0.4</v>
      </c>
      <c r="Q303" s="354" t="s">
        <v>59</v>
      </c>
    </row>
    <row r="304" spans="1:17">
      <c r="A304" s="77"/>
      <c r="B304" s="361"/>
      <c r="C304" s="361"/>
      <c r="D304" s="361"/>
      <c r="E304" s="361"/>
      <c r="F304" s="361"/>
      <c r="G304" s="361" t="s">
        <v>722</v>
      </c>
      <c r="H304" s="361"/>
      <c r="I304" s="361"/>
      <c r="J304" s="361"/>
      <c r="K304" s="361"/>
      <c r="L304" s="361"/>
      <c r="M304" s="361"/>
      <c r="N304" s="361"/>
      <c r="O304" s="361"/>
      <c r="P304" s="361"/>
      <c r="Q304" s="362"/>
    </row>
    <row r="305" spans="1:17" ht="15">
      <c r="A305" s="77"/>
      <c r="B305" s="402" t="s">
        <v>71</v>
      </c>
      <c r="C305" s="448">
        <v>46212</v>
      </c>
      <c r="D305" s="448">
        <v>46219</v>
      </c>
      <c r="E305" s="81">
        <v>80</v>
      </c>
      <c r="F305" s="110">
        <v>254995</v>
      </c>
      <c r="G305" s="110" t="s">
        <v>723</v>
      </c>
      <c r="H305" s="81"/>
      <c r="I305" s="81"/>
      <c r="J305" s="81"/>
      <c r="K305" s="81"/>
      <c r="L305" s="81"/>
      <c r="M305" s="81"/>
      <c r="N305" s="393" t="s">
        <v>56</v>
      </c>
      <c r="O305" s="352">
        <v>0.25</v>
      </c>
      <c r="P305" s="352">
        <v>0.35</v>
      </c>
      <c r="Q305" s="357" t="s">
        <v>55</v>
      </c>
    </row>
    <row r="306" spans="1:17" ht="15">
      <c r="A306" s="77"/>
      <c r="B306" s="403" t="s">
        <v>71</v>
      </c>
      <c r="C306" s="448">
        <v>46212</v>
      </c>
      <c r="D306" s="448">
        <v>46219</v>
      </c>
      <c r="E306" s="81">
        <v>80</v>
      </c>
      <c r="F306" s="110">
        <v>3406218</v>
      </c>
      <c r="G306" s="110" t="s">
        <v>724</v>
      </c>
      <c r="H306" s="81"/>
      <c r="I306" s="81"/>
      <c r="J306" s="81"/>
      <c r="K306" s="81"/>
      <c r="L306" s="81"/>
      <c r="M306" s="81"/>
      <c r="N306" s="393" t="s">
        <v>56</v>
      </c>
      <c r="O306" s="352">
        <v>0.25</v>
      </c>
      <c r="P306" s="352">
        <v>0.35</v>
      </c>
      <c r="Q306" s="357" t="s">
        <v>55</v>
      </c>
    </row>
    <row r="307" spans="1:17" ht="15">
      <c r="A307" s="77"/>
      <c r="B307" s="403" t="s">
        <v>71</v>
      </c>
      <c r="C307" s="448">
        <v>46212</v>
      </c>
      <c r="D307" s="448">
        <v>46219</v>
      </c>
      <c r="E307" s="81">
        <v>80</v>
      </c>
      <c r="F307" s="110">
        <v>1773429</v>
      </c>
      <c r="G307" s="110" t="s">
        <v>725</v>
      </c>
      <c r="H307" s="81"/>
      <c r="I307" s="81"/>
      <c r="J307" s="81"/>
      <c r="K307" s="81"/>
      <c r="L307" s="81"/>
      <c r="M307" s="81"/>
      <c r="N307" s="393" t="s">
        <v>30</v>
      </c>
      <c r="O307" s="352">
        <v>0.25</v>
      </c>
      <c r="P307" s="352">
        <v>0.35</v>
      </c>
      <c r="Q307" s="357" t="s">
        <v>55</v>
      </c>
    </row>
    <row r="308" spans="1:17" ht="15">
      <c r="A308" s="77"/>
      <c r="B308" s="403" t="s">
        <v>71</v>
      </c>
      <c r="C308" s="448">
        <v>46212</v>
      </c>
      <c r="D308" s="448">
        <v>46219</v>
      </c>
      <c r="E308" s="81">
        <v>80</v>
      </c>
      <c r="F308" s="110">
        <v>3327413</v>
      </c>
      <c r="G308" s="110" t="s">
        <v>726</v>
      </c>
      <c r="H308" s="81"/>
      <c r="I308" s="81"/>
      <c r="J308" s="81"/>
      <c r="K308" s="81"/>
      <c r="L308" s="81"/>
      <c r="M308" s="81"/>
      <c r="N308" s="393" t="s">
        <v>629</v>
      </c>
      <c r="O308" s="352">
        <v>0.25</v>
      </c>
      <c r="P308" s="352">
        <v>0.35</v>
      </c>
      <c r="Q308" s="357" t="s">
        <v>55</v>
      </c>
    </row>
    <row r="309" spans="1:17" ht="15">
      <c r="A309" s="77"/>
      <c r="B309" s="159" t="s">
        <v>130</v>
      </c>
      <c r="C309" s="390">
        <v>46212</v>
      </c>
      <c r="D309" s="390">
        <v>46219</v>
      </c>
      <c r="E309" s="81">
        <v>80</v>
      </c>
      <c r="F309" s="110">
        <v>3788929</v>
      </c>
      <c r="G309" s="110" t="s">
        <v>727</v>
      </c>
      <c r="H309" s="81"/>
      <c r="I309" s="81"/>
      <c r="J309" s="81"/>
      <c r="K309" s="81"/>
      <c r="L309" s="81"/>
      <c r="M309" s="81"/>
      <c r="N309" s="110" t="s">
        <v>631</v>
      </c>
      <c r="O309" s="352">
        <v>0.25</v>
      </c>
      <c r="P309" s="352">
        <v>0.35</v>
      </c>
      <c r="Q309" s="357" t="s">
        <v>55</v>
      </c>
    </row>
    <row r="310" spans="1:17" ht="15">
      <c r="A310" s="77"/>
      <c r="B310" s="159" t="s">
        <v>130</v>
      </c>
      <c r="C310" s="390">
        <v>46212</v>
      </c>
      <c r="D310" s="390">
        <v>46219</v>
      </c>
      <c r="E310" s="81">
        <v>80</v>
      </c>
      <c r="F310" s="110">
        <v>3440769</v>
      </c>
      <c r="G310" s="110" t="s">
        <v>630</v>
      </c>
      <c r="H310" s="81"/>
      <c r="I310" s="81"/>
      <c r="J310" s="81"/>
      <c r="K310" s="81"/>
      <c r="L310" s="81"/>
      <c r="M310" s="81"/>
      <c r="N310" s="110" t="s">
        <v>631</v>
      </c>
      <c r="O310" s="352">
        <v>0.25</v>
      </c>
      <c r="P310" s="352">
        <v>0.35</v>
      </c>
      <c r="Q310" s="357" t="s">
        <v>55</v>
      </c>
    </row>
    <row r="311" spans="1:17" ht="15">
      <c r="A311" s="77"/>
      <c r="B311" s="159" t="s">
        <v>130</v>
      </c>
      <c r="C311" s="390">
        <v>46212</v>
      </c>
      <c r="D311" s="390">
        <v>46219</v>
      </c>
      <c r="E311" s="81">
        <v>80</v>
      </c>
      <c r="F311" s="110">
        <v>3440767</v>
      </c>
      <c r="G311" s="110" t="s">
        <v>632</v>
      </c>
      <c r="H311" s="81"/>
      <c r="I311" s="81"/>
      <c r="J311" s="81"/>
      <c r="K311" s="81"/>
      <c r="L311" s="81"/>
      <c r="M311" s="81"/>
      <c r="N311" s="110" t="s">
        <v>631</v>
      </c>
      <c r="O311" s="352">
        <v>0.25</v>
      </c>
      <c r="P311" s="352">
        <v>0.35</v>
      </c>
      <c r="Q311" s="357" t="s">
        <v>55</v>
      </c>
    </row>
    <row r="312" spans="1:17" ht="15">
      <c r="A312" s="77"/>
      <c r="B312" s="159" t="s">
        <v>130</v>
      </c>
      <c r="C312" s="390">
        <v>46212</v>
      </c>
      <c r="D312" s="390">
        <v>46219</v>
      </c>
      <c r="E312" s="81">
        <v>80</v>
      </c>
      <c r="F312" s="110">
        <v>3440772</v>
      </c>
      <c r="G312" s="110" t="s">
        <v>728</v>
      </c>
      <c r="H312" s="81"/>
      <c r="I312" s="81"/>
      <c r="J312" s="81"/>
      <c r="K312" s="81"/>
      <c r="L312" s="81"/>
      <c r="M312" s="81"/>
      <c r="N312" s="110" t="s">
        <v>631</v>
      </c>
      <c r="O312" s="352">
        <v>0.25</v>
      </c>
      <c r="P312" s="352">
        <v>0.35</v>
      </c>
      <c r="Q312" s="357" t="s">
        <v>55</v>
      </c>
    </row>
    <row r="313" spans="1:17" ht="15">
      <c r="A313" s="77"/>
      <c r="B313" s="159" t="s">
        <v>130</v>
      </c>
      <c r="C313" s="390">
        <v>46212</v>
      </c>
      <c r="D313" s="390">
        <v>46219</v>
      </c>
      <c r="E313" s="81">
        <v>80</v>
      </c>
      <c r="F313" s="110">
        <v>3785407</v>
      </c>
      <c r="G313" s="110" t="s">
        <v>633</v>
      </c>
      <c r="H313" s="81"/>
      <c r="I313" s="81"/>
      <c r="J313" s="81"/>
      <c r="K313" s="81"/>
      <c r="L313" s="81"/>
      <c r="M313" s="81"/>
      <c r="N313" s="110" t="s">
        <v>631</v>
      </c>
      <c r="O313" s="352">
        <v>0.25</v>
      </c>
      <c r="P313" s="352">
        <v>0.35</v>
      </c>
      <c r="Q313" s="357" t="s">
        <v>55</v>
      </c>
    </row>
    <row r="314" spans="1:17" ht="15">
      <c r="A314" s="77"/>
      <c r="B314" s="159" t="s">
        <v>71</v>
      </c>
      <c r="C314" s="390">
        <v>46212</v>
      </c>
      <c r="D314" s="390">
        <v>46219</v>
      </c>
      <c r="E314" s="81">
        <v>80</v>
      </c>
      <c r="F314" s="110">
        <v>3759221</v>
      </c>
      <c r="G314" s="110" t="s">
        <v>628</v>
      </c>
      <c r="H314" s="81"/>
      <c r="I314" s="81"/>
      <c r="J314" s="81"/>
      <c r="K314" s="81"/>
      <c r="L314" s="81"/>
      <c r="M314" s="81"/>
      <c r="N314" s="393" t="s">
        <v>612</v>
      </c>
      <c r="O314" s="352">
        <v>0.25</v>
      </c>
      <c r="P314" s="352">
        <v>0.35</v>
      </c>
      <c r="Q314" s="357" t="s">
        <v>55</v>
      </c>
    </row>
    <row r="315" spans="1:17" ht="15">
      <c r="A315" s="77"/>
      <c r="B315" s="159" t="s">
        <v>71</v>
      </c>
      <c r="C315" s="390">
        <v>46212</v>
      </c>
      <c r="D315" s="390">
        <v>46219</v>
      </c>
      <c r="E315" s="81">
        <v>80</v>
      </c>
      <c r="F315" s="110">
        <v>3621087</v>
      </c>
      <c r="G315" s="110" t="s">
        <v>647</v>
      </c>
      <c r="H315" s="81"/>
      <c r="I315" s="81"/>
      <c r="J315" s="81"/>
      <c r="K315" s="81"/>
      <c r="L315" s="81"/>
      <c r="M315" s="81"/>
      <c r="N315" s="393" t="s">
        <v>612</v>
      </c>
      <c r="O315" s="352">
        <v>0.25</v>
      </c>
      <c r="P315" s="352">
        <v>0.35</v>
      </c>
      <c r="Q315" s="357" t="s">
        <v>55</v>
      </c>
    </row>
    <row r="316" spans="1:17" ht="15">
      <c r="A316" s="77"/>
      <c r="B316" s="159" t="s">
        <v>71</v>
      </c>
      <c r="C316" s="390">
        <v>46212</v>
      </c>
      <c r="D316" s="390">
        <v>46219</v>
      </c>
      <c r="E316" s="81">
        <v>80</v>
      </c>
      <c r="F316" s="110">
        <v>3621084</v>
      </c>
      <c r="G316" s="110" t="s">
        <v>648</v>
      </c>
      <c r="H316" s="81"/>
      <c r="I316" s="81"/>
      <c r="J316" s="81"/>
      <c r="K316" s="81"/>
      <c r="L316" s="81"/>
      <c r="M316" s="81"/>
      <c r="N316" s="393" t="s">
        <v>612</v>
      </c>
      <c r="O316" s="352">
        <v>0.25</v>
      </c>
      <c r="P316" s="352">
        <v>0.35</v>
      </c>
      <c r="Q316" s="357" t="s">
        <v>55</v>
      </c>
    </row>
    <row r="317" spans="1:17" ht="15">
      <c r="A317" s="77"/>
      <c r="B317" s="159" t="s">
        <v>71</v>
      </c>
      <c r="C317" s="390">
        <v>46212</v>
      </c>
      <c r="D317" s="390">
        <v>46219</v>
      </c>
      <c r="E317" s="81">
        <v>80</v>
      </c>
      <c r="F317" s="110">
        <v>3621085</v>
      </c>
      <c r="G317" s="110" t="s">
        <v>649</v>
      </c>
      <c r="H317" s="81"/>
      <c r="I317" s="81"/>
      <c r="J317" s="81"/>
      <c r="K317" s="81"/>
      <c r="L317" s="81"/>
      <c r="M317" s="81"/>
      <c r="N317" s="393" t="s">
        <v>612</v>
      </c>
      <c r="O317" s="352">
        <v>0.25</v>
      </c>
      <c r="P317" s="352">
        <v>0.35</v>
      </c>
      <c r="Q317" s="357" t="s">
        <v>55</v>
      </c>
    </row>
    <row r="318" spans="1:17" ht="15">
      <c r="A318" s="77"/>
      <c r="B318" s="159" t="s">
        <v>71</v>
      </c>
      <c r="C318" s="390">
        <v>46212</v>
      </c>
      <c r="D318" s="390">
        <v>46219</v>
      </c>
      <c r="E318" s="81">
        <v>80</v>
      </c>
      <c r="F318" s="110">
        <v>3759220</v>
      </c>
      <c r="G318" s="110" t="s">
        <v>650</v>
      </c>
      <c r="H318" s="81"/>
      <c r="I318" s="81"/>
      <c r="J318" s="81"/>
      <c r="K318" s="81"/>
      <c r="L318" s="81"/>
      <c r="M318" s="81"/>
      <c r="N318" s="393" t="s">
        <v>612</v>
      </c>
      <c r="O318" s="352">
        <v>0.25</v>
      </c>
      <c r="P318" s="352">
        <v>0.35</v>
      </c>
      <c r="Q318" s="357" t="s">
        <v>55</v>
      </c>
    </row>
    <row r="319" spans="1:17" ht="15">
      <c r="A319" s="77"/>
      <c r="B319" s="159" t="s">
        <v>71</v>
      </c>
      <c r="C319" s="390">
        <v>46212</v>
      </c>
      <c r="D319" s="390">
        <v>46219</v>
      </c>
      <c r="E319" s="81">
        <v>80</v>
      </c>
      <c r="F319" s="110">
        <v>3621083</v>
      </c>
      <c r="G319" s="110" t="s">
        <v>651</v>
      </c>
      <c r="H319" s="81"/>
      <c r="I319" s="81"/>
      <c r="J319" s="81"/>
      <c r="K319" s="81"/>
      <c r="L319" s="81"/>
      <c r="M319" s="81"/>
      <c r="N319" s="393" t="s">
        <v>612</v>
      </c>
      <c r="O319" s="352">
        <v>0.25</v>
      </c>
      <c r="P319" s="352">
        <v>0.35</v>
      </c>
      <c r="Q319" s="357" t="s">
        <v>55</v>
      </c>
    </row>
    <row r="320" spans="1:17" ht="15">
      <c r="A320" s="77"/>
      <c r="B320" s="159" t="s">
        <v>130</v>
      </c>
      <c r="C320" s="390">
        <v>46212</v>
      </c>
      <c r="D320" s="390">
        <v>46219</v>
      </c>
      <c r="E320" s="81">
        <v>80</v>
      </c>
      <c r="F320" s="110">
        <v>3683619</v>
      </c>
      <c r="G320" s="110" t="s">
        <v>729</v>
      </c>
      <c r="H320" s="81"/>
      <c r="I320" s="81"/>
      <c r="J320" s="81"/>
      <c r="K320" s="81"/>
      <c r="L320" s="81"/>
      <c r="M320" s="81"/>
      <c r="N320" s="110" t="s">
        <v>653</v>
      </c>
      <c r="O320" s="352">
        <v>0.25</v>
      </c>
      <c r="P320" s="352">
        <v>0.35</v>
      </c>
      <c r="Q320" s="357" t="s">
        <v>55</v>
      </c>
    </row>
    <row r="321" spans="1:17" ht="15">
      <c r="A321" s="77"/>
      <c r="B321" s="159" t="s">
        <v>130</v>
      </c>
      <c r="C321" s="390">
        <v>46212</v>
      </c>
      <c r="D321" s="390">
        <v>46219</v>
      </c>
      <c r="E321" s="81">
        <v>80</v>
      </c>
      <c r="F321" s="110">
        <v>163026</v>
      </c>
      <c r="G321" s="110" t="s">
        <v>730</v>
      </c>
      <c r="H321" s="81"/>
      <c r="I321" s="81"/>
      <c r="J321" s="81"/>
      <c r="K321" s="81"/>
      <c r="L321" s="81"/>
      <c r="M321" s="81"/>
      <c r="N321" s="110" t="s">
        <v>653</v>
      </c>
      <c r="O321" s="352">
        <v>0.25</v>
      </c>
      <c r="P321" s="352">
        <v>0.35</v>
      </c>
      <c r="Q321" s="357" t="s">
        <v>55</v>
      </c>
    </row>
    <row r="322" spans="1:17" ht="15">
      <c r="A322" s="77"/>
      <c r="B322" s="159" t="s">
        <v>71</v>
      </c>
      <c r="C322" s="390">
        <v>46212</v>
      </c>
      <c r="D322" s="390">
        <v>46219</v>
      </c>
      <c r="E322" s="81">
        <v>80</v>
      </c>
      <c r="F322" s="110">
        <v>3836064</v>
      </c>
      <c r="G322" s="110" t="s">
        <v>731</v>
      </c>
      <c r="H322" s="81"/>
      <c r="I322" s="81"/>
      <c r="J322" s="81"/>
      <c r="K322" s="81"/>
      <c r="L322" s="81"/>
      <c r="M322" s="81"/>
      <c r="N322" s="393" t="s">
        <v>656</v>
      </c>
      <c r="O322" s="352">
        <v>0.25</v>
      </c>
      <c r="P322" s="352">
        <v>0.35</v>
      </c>
      <c r="Q322" s="357" t="s">
        <v>55</v>
      </c>
    </row>
    <row r="323" spans="1:17" ht="15">
      <c r="A323" s="77"/>
      <c r="B323" s="159" t="s">
        <v>71</v>
      </c>
      <c r="C323" s="390">
        <v>46212</v>
      </c>
      <c r="D323" s="390">
        <v>46219</v>
      </c>
      <c r="E323" s="81">
        <v>80</v>
      </c>
      <c r="F323" s="110">
        <v>3836063</v>
      </c>
      <c r="G323" s="110" t="s">
        <v>732</v>
      </c>
      <c r="H323" s="81"/>
      <c r="I323" s="81"/>
      <c r="J323" s="81"/>
      <c r="K323" s="81"/>
      <c r="L323" s="81"/>
      <c r="M323" s="81"/>
      <c r="N323" s="393" t="s">
        <v>656</v>
      </c>
      <c r="O323" s="352">
        <v>0.25</v>
      </c>
      <c r="P323" s="352">
        <v>0.35</v>
      </c>
      <c r="Q323" s="357" t="s">
        <v>55</v>
      </c>
    </row>
    <row r="324" spans="1:17" ht="15">
      <c r="A324" s="77"/>
      <c r="B324" s="159" t="s">
        <v>71</v>
      </c>
      <c r="C324" s="390">
        <v>46212</v>
      </c>
      <c r="D324" s="390">
        <v>46219</v>
      </c>
      <c r="E324" s="81">
        <v>80</v>
      </c>
      <c r="F324" s="110">
        <v>3719359</v>
      </c>
      <c r="G324" s="110" t="s">
        <v>733</v>
      </c>
      <c r="H324" s="81"/>
      <c r="I324" s="81"/>
      <c r="J324" s="81"/>
      <c r="K324" s="81"/>
      <c r="L324" s="81"/>
      <c r="M324" s="81"/>
      <c r="N324" s="393" t="s">
        <v>661</v>
      </c>
      <c r="O324" s="352">
        <v>0.25</v>
      </c>
      <c r="P324" s="352">
        <v>0.35</v>
      </c>
      <c r="Q324" s="357" t="s">
        <v>55</v>
      </c>
    </row>
    <row r="325" spans="1:17" ht="15">
      <c r="A325" s="77"/>
      <c r="B325" s="159" t="s">
        <v>71</v>
      </c>
      <c r="C325" s="390">
        <v>46212</v>
      </c>
      <c r="D325" s="390">
        <v>46219</v>
      </c>
      <c r="E325" s="81">
        <v>80</v>
      </c>
      <c r="F325" s="110">
        <v>3788485</v>
      </c>
      <c r="G325" s="110" t="s">
        <v>734</v>
      </c>
      <c r="H325" s="81"/>
      <c r="I325" s="81"/>
      <c r="J325" s="81"/>
      <c r="K325" s="81"/>
      <c r="L325" s="81"/>
      <c r="M325" s="81"/>
      <c r="N325" s="393" t="s">
        <v>661</v>
      </c>
      <c r="O325" s="352">
        <v>0.25</v>
      </c>
      <c r="P325" s="352">
        <v>0.35</v>
      </c>
      <c r="Q325" s="357" t="s">
        <v>55</v>
      </c>
    </row>
    <row r="326" spans="1:17" ht="15">
      <c r="A326" s="77"/>
      <c r="B326" s="159" t="s">
        <v>71</v>
      </c>
      <c r="C326" s="390">
        <v>46212</v>
      </c>
      <c r="D326" s="390">
        <v>46219</v>
      </c>
      <c r="E326" s="81">
        <v>80</v>
      </c>
      <c r="F326" s="110">
        <v>3693615</v>
      </c>
      <c r="G326" s="110" t="s">
        <v>735</v>
      </c>
      <c r="H326" s="81"/>
      <c r="I326" s="81"/>
      <c r="J326" s="81"/>
      <c r="K326" s="81"/>
      <c r="L326" s="81"/>
      <c r="M326" s="81"/>
      <c r="N326" s="393" t="s">
        <v>736</v>
      </c>
      <c r="O326" s="352">
        <v>0.25</v>
      </c>
      <c r="P326" s="352">
        <v>0.35</v>
      </c>
      <c r="Q326" s="357" t="s">
        <v>55</v>
      </c>
    </row>
    <row r="327" spans="1:17" ht="15">
      <c r="A327" s="77"/>
      <c r="B327" s="159" t="s">
        <v>71</v>
      </c>
      <c r="C327" s="390">
        <v>46212</v>
      </c>
      <c r="D327" s="390">
        <v>46219</v>
      </c>
      <c r="E327" s="81">
        <v>80</v>
      </c>
      <c r="F327" s="110">
        <v>3789450</v>
      </c>
      <c r="G327" s="110" t="s">
        <v>737</v>
      </c>
      <c r="H327" s="81"/>
      <c r="I327" s="81"/>
      <c r="J327" s="81"/>
      <c r="K327" s="81"/>
      <c r="L327" s="81"/>
      <c r="M327" s="81"/>
      <c r="N327" s="393" t="s">
        <v>736</v>
      </c>
      <c r="O327" s="352">
        <v>0.25</v>
      </c>
      <c r="P327" s="352">
        <v>0.35</v>
      </c>
      <c r="Q327" s="357" t="s">
        <v>55</v>
      </c>
    </row>
    <row r="328" spans="1:17" ht="15">
      <c r="A328" s="77"/>
      <c r="B328" s="159" t="s">
        <v>130</v>
      </c>
      <c r="C328" s="390">
        <v>46212</v>
      </c>
      <c r="D328" s="390">
        <v>46219</v>
      </c>
      <c r="E328" s="81">
        <v>80</v>
      </c>
      <c r="F328" s="110">
        <v>3759380</v>
      </c>
      <c r="G328" s="110" t="s">
        <v>638</v>
      </c>
      <c r="H328" s="81"/>
      <c r="I328" s="81"/>
      <c r="J328" s="81"/>
      <c r="K328" s="81"/>
      <c r="L328" s="81"/>
      <c r="M328" s="81"/>
      <c r="N328" s="110" t="s">
        <v>639</v>
      </c>
      <c r="O328" s="352">
        <v>0.25</v>
      </c>
      <c r="P328" s="352">
        <v>0.35</v>
      </c>
      <c r="Q328" s="357" t="s">
        <v>55</v>
      </c>
    </row>
    <row r="329" spans="1:17" ht="15">
      <c r="A329" s="77"/>
      <c r="B329" s="159" t="s">
        <v>130</v>
      </c>
      <c r="C329" s="390">
        <v>46212</v>
      </c>
      <c r="D329" s="390">
        <v>46219</v>
      </c>
      <c r="E329" s="81">
        <v>80</v>
      </c>
      <c r="F329" s="110">
        <v>3713378</v>
      </c>
      <c r="G329" s="110" t="s">
        <v>640</v>
      </c>
      <c r="H329" s="81"/>
      <c r="I329" s="81"/>
      <c r="J329" s="81"/>
      <c r="K329" s="81"/>
      <c r="L329" s="81"/>
      <c r="M329" s="81"/>
      <c r="N329" s="110" t="s">
        <v>639</v>
      </c>
      <c r="O329" s="352">
        <v>0.25</v>
      </c>
      <c r="P329" s="352">
        <v>0.35</v>
      </c>
      <c r="Q329" s="357" t="s">
        <v>55</v>
      </c>
    </row>
    <row r="330" spans="1:17" ht="15">
      <c r="A330" s="77"/>
      <c r="B330" s="159" t="s">
        <v>130</v>
      </c>
      <c r="C330" s="390">
        <v>46212</v>
      </c>
      <c r="D330" s="390">
        <v>46219</v>
      </c>
      <c r="E330" s="81">
        <v>80</v>
      </c>
      <c r="F330" s="110">
        <v>3713379</v>
      </c>
      <c r="G330" s="110" t="s">
        <v>641</v>
      </c>
      <c r="H330" s="81"/>
      <c r="I330" s="81"/>
      <c r="J330" s="81"/>
      <c r="K330" s="81"/>
      <c r="L330" s="81"/>
      <c r="M330" s="81"/>
      <c r="N330" s="110" t="s">
        <v>639</v>
      </c>
      <c r="O330" s="352">
        <v>0.25</v>
      </c>
      <c r="P330" s="352">
        <v>0.35</v>
      </c>
      <c r="Q330" s="357" t="s">
        <v>55</v>
      </c>
    </row>
    <row r="331" spans="1:17" ht="15">
      <c r="A331" s="77"/>
      <c r="B331" s="159" t="s">
        <v>130</v>
      </c>
      <c r="C331" s="390">
        <v>46212</v>
      </c>
      <c r="D331" s="390">
        <v>46219</v>
      </c>
      <c r="E331" s="81">
        <v>80</v>
      </c>
      <c r="F331" s="110">
        <v>3713381</v>
      </c>
      <c r="G331" s="110" t="s">
        <v>642</v>
      </c>
      <c r="H331" s="81"/>
      <c r="I331" s="81"/>
      <c r="J331" s="81"/>
      <c r="K331" s="81"/>
      <c r="L331" s="81"/>
      <c r="M331" s="81"/>
      <c r="N331" s="110" t="s">
        <v>639</v>
      </c>
      <c r="O331" s="352">
        <v>0.25</v>
      </c>
      <c r="P331" s="352">
        <v>0.35</v>
      </c>
      <c r="Q331" s="357" t="s">
        <v>55</v>
      </c>
    </row>
    <row r="332" spans="1:17" ht="15">
      <c r="A332" s="77"/>
      <c r="B332" s="159" t="s">
        <v>130</v>
      </c>
      <c r="C332" s="390">
        <v>46212</v>
      </c>
      <c r="D332" s="390">
        <v>46219</v>
      </c>
      <c r="E332" s="81">
        <v>80</v>
      </c>
      <c r="F332" s="110">
        <v>3713382</v>
      </c>
      <c r="G332" s="110" t="s">
        <v>643</v>
      </c>
      <c r="H332" s="81"/>
      <c r="I332" s="81"/>
      <c r="J332" s="81"/>
      <c r="K332" s="81"/>
      <c r="L332" s="81"/>
      <c r="M332" s="81"/>
      <c r="N332" s="110" t="s">
        <v>639</v>
      </c>
      <c r="O332" s="352">
        <v>0.25</v>
      </c>
      <c r="P332" s="352">
        <v>0.35</v>
      </c>
      <c r="Q332" s="357" t="s">
        <v>55</v>
      </c>
    </row>
    <row r="333" spans="1:17" ht="15">
      <c r="A333" s="77"/>
      <c r="B333" s="159" t="s">
        <v>130</v>
      </c>
      <c r="C333" s="390">
        <v>46212</v>
      </c>
      <c r="D333" s="390">
        <v>46219</v>
      </c>
      <c r="E333" s="81">
        <v>80</v>
      </c>
      <c r="F333" s="110">
        <v>3585216</v>
      </c>
      <c r="G333" s="110" t="s">
        <v>738</v>
      </c>
      <c r="H333" s="81"/>
      <c r="I333" s="81"/>
      <c r="J333" s="81"/>
      <c r="K333" s="81"/>
      <c r="L333" s="81"/>
      <c r="M333" s="81"/>
      <c r="N333" s="110" t="s">
        <v>645</v>
      </c>
      <c r="O333" s="352">
        <v>0.25</v>
      </c>
      <c r="P333" s="352">
        <v>0.35</v>
      </c>
      <c r="Q333" s="357" t="s">
        <v>55</v>
      </c>
    </row>
    <row r="334" spans="1:17" ht="15">
      <c r="A334" s="77"/>
      <c r="B334" s="159" t="s">
        <v>130</v>
      </c>
      <c r="C334" s="390">
        <v>46212</v>
      </c>
      <c r="D334" s="390">
        <v>46219</v>
      </c>
      <c r="E334" s="81">
        <v>80</v>
      </c>
      <c r="F334" s="139">
        <v>3733771</v>
      </c>
      <c r="G334" s="139" t="s">
        <v>739</v>
      </c>
      <c r="H334" s="81"/>
      <c r="I334" s="81"/>
      <c r="J334" s="81"/>
      <c r="K334" s="81"/>
      <c r="L334" s="81"/>
      <c r="M334" s="81"/>
      <c r="N334" s="110" t="s">
        <v>645</v>
      </c>
      <c r="O334" s="352">
        <v>0.25</v>
      </c>
      <c r="P334" s="352">
        <v>0.35</v>
      </c>
      <c r="Q334" s="357" t="s">
        <v>55</v>
      </c>
    </row>
    <row r="335" spans="1:17" ht="15">
      <c r="A335" s="77"/>
      <c r="B335" s="159" t="s">
        <v>130</v>
      </c>
      <c r="C335" s="390">
        <v>46212</v>
      </c>
      <c r="D335" s="390">
        <v>46219</v>
      </c>
      <c r="E335" s="97">
        <v>80</v>
      </c>
      <c r="F335" s="604">
        <v>3408382</v>
      </c>
      <c r="G335" s="596" t="s">
        <v>740</v>
      </c>
      <c r="H335" s="99"/>
      <c r="I335" s="81"/>
      <c r="J335" s="81"/>
      <c r="K335" s="81"/>
      <c r="L335" s="81"/>
      <c r="M335" s="81"/>
      <c r="N335" s="110" t="s">
        <v>664</v>
      </c>
      <c r="O335" s="352">
        <v>0.25</v>
      </c>
      <c r="P335" s="352">
        <v>0.35</v>
      </c>
      <c r="Q335" s="357" t="s">
        <v>55</v>
      </c>
    </row>
    <row r="336" spans="1:17" ht="15">
      <c r="A336" s="77"/>
      <c r="B336" s="159" t="s">
        <v>130</v>
      </c>
      <c r="C336" s="390">
        <v>46212</v>
      </c>
      <c r="D336" s="390">
        <v>46219</v>
      </c>
      <c r="E336" s="97">
        <v>80</v>
      </c>
      <c r="F336" s="604">
        <v>3408381</v>
      </c>
      <c r="G336" s="596" t="s">
        <v>741</v>
      </c>
      <c r="H336" s="99"/>
      <c r="I336" s="81"/>
      <c r="J336" s="81"/>
      <c r="K336" s="81"/>
      <c r="L336" s="81"/>
      <c r="M336" s="81"/>
      <c r="N336" s="110" t="s">
        <v>664</v>
      </c>
      <c r="O336" s="352">
        <v>0.25</v>
      </c>
      <c r="P336" s="352">
        <v>0.35</v>
      </c>
      <c r="Q336" s="357" t="s">
        <v>55</v>
      </c>
    </row>
    <row r="337" spans="1:17" ht="15">
      <c r="A337" s="77"/>
      <c r="B337" s="159" t="s">
        <v>130</v>
      </c>
      <c r="C337" s="390">
        <v>46212</v>
      </c>
      <c r="D337" s="390">
        <v>46219</v>
      </c>
      <c r="E337" s="97">
        <v>80</v>
      </c>
      <c r="F337" s="604">
        <v>3408386</v>
      </c>
      <c r="G337" s="596" t="s">
        <v>665</v>
      </c>
      <c r="H337" s="99"/>
      <c r="I337" s="81"/>
      <c r="J337" s="81"/>
      <c r="K337" s="81"/>
      <c r="L337" s="81"/>
      <c r="M337" s="81"/>
      <c r="N337" s="110" t="s">
        <v>664</v>
      </c>
      <c r="O337" s="352">
        <v>0.25</v>
      </c>
      <c r="P337" s="352">
        <v>0.35</v>
      </c>
      <c r="Q337" s="357" t="s">
        <v>55</v>
      </c>
    </row>
    <row r="338" spans="1:17" ht="15">
      <c r="A338" s="77"/>
      <c r="B338" s="159" t="s">
        <v>71</v>
      </c>
      <c r="C338" s="390">
        <v>46210</v>
      </c>
      <c r="D338" s="390">
        <v>46219</v>
      </c>
      <c r="E338" s="81">
        <v>80</v>
      </c>
      <c r="F338" s="322">
        <v>1516720</v>
      </c>
      <c r="G338" s="322" t="s">
        <v>742</v>
      </c>
      <c r="H338" s="81"/>
      <c r="I338" s="81"/>
      <c r="J338" s="81"/>
      <c r="K338" s="81"/>
      <c r="L338" s="81"/>
      <c r="M338" s="81"/>
      <c r="N338" s="393" t="s">
        <v>58</v>
      </c>
      <c r="O338" s="727" t="s">
        <v>100</v>
      </c>
      <c r="P338" s="727"/>
      <c r="Q338" s="353" t="s">
        <v>59</v>
      </c>
    </row>
    <row r="339" spans="1:17" ht="15">
      <c r="A339" s="77"/>
      <c r="B339" s="159" t="s">
        <v>71</v>
      </c>
      <c r="C339" s="390">
        <v>46210</v>
      </c>
      <c r="D339" s="390">
        <v>46219</v>
      </c>
      <c r="E339" s="81">
        <v>80</v>
      </c>
      <c r="F339" s="110">
        <v>20164</v>
      </c>
      <c r="G339" s="110" t="s">
        <v>743</v>
      </c>
      <c r="H339" s="81"/>
      <c r="I339" s="81"/>
      <c r="J339" s="81"/>
      <c r="K339" s="81"/>
      <c r="L339" s="81"/>
      <c r="M339" s="81"/>
      <c r="N339" s="523" t="s">
        <v>56</v>
      </c>
      <c r="O339" s="352">
        <v>0.3</v>
      </c>
      <c r="P339" s="352">
        <v>0.4</v>
      </c>
      <c r="Q339" s="353" t="s">
        <v>59</v>
      </c>
    </row>
    <row r="340" spans="1:17" ht="15">
      <c r="A340" s="77"/>
      <c r="B340" s="159" t="s">
        <v>71</v>
      </c>
      <c r="C340" s="390">
        <v>46210</v>
      </c>
      <c r="D340" s="390">
        <v>46219</v>
      </c>
      <c r="E340" s="81">
        <v>80</v>
      </c>
      <c r="F340" s="110">
        <v>1516721</v>
      </c>
      <c r="G340" s="110" t="s">
        <v>744</v>
      </c>
      <c r="H340" s="81"/>
      <c r="I340" s="81"/>
      <c r="J340" s="81"/>
      <c r="K340" s="81"/>
      <c r="L340" s="81"/>
      <c r="M340" s="81"/>
      <c r="N340" s="393" t="s">
        <v>58</v>
      </c>
      <c r="O340" s="352">
        <v>0.3</v>
      </c>
      <c r="P340" s="352">
        <v>0.4</v>
      </c>
      <c r="Q340" s="353" t="s">
        <v>59</v>
      </c>
    </row>
    <row r="341" spans="1:17" ht="15">
      <c r="A341" s="77"/>
      <c r="B341" s="159" t="s">
        <v>71</v>
      </c>
      <c r="C341" s="390">
        <v>46210</v>
      </c>
      <c r="D341" s="390">
        <v>46219</v>
      </c>
      <c r="E341" s="81">
        <v>80</v>
      </c>
      <c r="F341" s="110">
        <v>1647527</v>
      </c>
      <c r="G341" s="110" t="s">
        <v>674</v>
      </c>
      <c r="H341" s="81"/>
      <c r="I341" s="81"/>
      <c r="J341" s="81"/>
      <c r="K341" s="81"/>
      <c r="L341" s="81"/>
      <c r="M341" s="81"/>
      <c r="N341" s="393" t="s">
        <v>675</v>
      </c>
      <c r="O341" s="352">
        <v>0.3</v>
      </c>
      <c r="P341" s="352">
        <v>0.4</v>
      </c>
      <c r="Q341" s="353" t="s">
        <v>59</v>
      </c>
    </row>
    <row r="342" spans="1:17" ht="15">
      <c r="A342" s="77"/>
      <c r="B342" s="159" t="s">
        <v>71</v>
      </c>
      <c r="C342" s="390">
        <v>46210</v>
      </c>
      <c r="D342" s="390">
        <v>46219</v>
      </c>
      <c r="E342" s="81">
        <v>80</v>
      </c>
      <c r="F342" s="110">
        <v>1603774</v>
      </c>
      <c r="G342" s="110" t="s">
        <v>745</v>
      </c>
      <c r="H342" s="81"/>
      <c r="I342" s="81"/>
      <c r="J342" s="81"/>
      <c r="K342" s="81"/>
      <c r="L342" s="81"/>
      <c r="M342" s="81"/>
      <c r="N342" s="393" t="s">
        <v>675</v>
      </c>
      <c r="O342" s="352">
        <v>0.3</v>
      </c>
      <c r="P342" s="352">
        <v>0.4</v>
      </c>
      <c r="Q342" s="353" t="s">
        <v>59</v>
      </c>
    </row>
    <row r="343" spans="1:17" ht="15">
      <c r="A343" s="77"/>
      <c r="B343" s="159" t="s">
        <v>71</v>
      </c>
      <c r="C343" s="390">
        <v>46210</v>
      </c>
      <c r="D343" s="390">
        <v>46219</v>
      </c>
      <c r="E343" s="81">
        <v>80</v>
      </c>
      <c r="F343" s="110">
        <v>410791</v>
      </c>
      <c r="G343" s="110" t="s">
        <v>683</v>
      </c>
      <c r="H343" s="81"/>
      <c r="I343" s="81"/>
      <c r="J343" s="81"/>
      <c r="K343" s="81"/>
      <c r="L343" s="81"/>
      <c r="M343" s="81"/>
      <c r="N343" s="393" t="s">
        <v>684</v>
      </c>
      <c r="O343" s="352">
        <v>0.3</v>
      </c>
      <c r="P343" s="352">
        <v>0.4</v>
      </c>
      <c r="Q343" s="353" t="s">
        <v>59</v>
      </c>
    </row>
    <row r="344" spans="1:17" ht="15">
      <c r="A344" s="77"/>
      <c r="B344" s="159" t="s">
        <v>71</v>
      </c>
      <c r="C344" s="390">
        <v>46210</v>
      </c>
      <c r="D344" s="390">
        <v>46219</v>
      </c>
      <c r="E344" s="81">
        <v>80</v>
      </c>
      <c r="F344" s="110">
        <v>1766263</v>
      </c>
      <c r="G344" s="110" t="s">
        <v>685</v>
      </c>
      <c r="H344" s="81"/>
      <c r="I344" s="81"/>
      <c r="J344" s="81"/>
      <c r="K344" s="81"/>
      <c r="L344" s="81"/>
      <c r="M344" s="81"/>
      <c r="N344" s="523" t="s">
        <v>684</v>
      </c>
      <c r="O344" s="352">
        <v>0.3</v>
      </c>
      <c r="P344" s="352">
        <v>0.4</v>
      </c>
      <c r="Q344" s="353" t="s">
        <v>59</v>
      </c>
    </row>
    <row r="345" spans="1:17" ht="15">
      <c r="A345" s="77"/>
      <c r="B345" s="159" t="s">
        <v>71</v>
      </c>
      <c r="C345" s="390">
        <v>46210</v>
      </c>
      <c r="D345" s="390">
        <v>46219</v>
      </c>
      <c r="E345" s="81">
        <v>80</v>
      </c>
      <c r="F345" s="110">
        <v>3817441</v>
      </c>
      <c r="G345" s="110" t="s">
        <v>686</v>
      </c>
      <c r="H345" s="81"/>
      <c r="I345" s="81"/>
      <c r="J345" s="81"/>
      <c r="K345" s="81"/>
      <c r="L345" s="81"/>
      <c r="M345" s="81"/>
      <c r="N345" s="393" t="s">
        <v>687</v>
      </c>
      <c r="O345" s="352">
        <v>0.3</v>
      </c>
      <c r="P345" s="352">
        <v>0.4</v>
      </c>
      <c r="Q345" s="353" t="s">
        <v>59</v>
      </c>
    </row>
    <row r="346" spans="1:17" ht="15">
      <c r="A346" s="77"/>
      <c r="B346" s="159" t="s">
        <v>71</v>
      </c>
      <c r="C346" s="390">
        <v>46210</v>
      </c>
      <c r="D346" s="390">
        <v>46219</v>
      </c>
      <c r="E346" s="81">
        <v>80</v>
      </c>
      <c r="F346" s="110">
        <v>3214227</v>
      </c>
      <c r="G346" s="110" t="s">
        <v>688</v>
      </c>
      <c r="H346" s="81"/>
      <c r="I346" s="81"/>
      <c r="J346" s="81"/>
      <c r="K346" s="81"/>
      <c r="L346" s="81"/>
      <c r="M346" s="81"/>
      <c r="N346" s="393" t="s">
        <v>689</v>
      </c>
      <c r="O346" s="352">
        <v>0.3</v>
      </c>
      <c r="P346" s="352">
        <v>0.4</v>
      </c>
      <c r="Q346" s="353" t="s">
        <v>59</v>
      </c>
    </row>
    <row r="347" spans="1:17" ht="15">
      <c r="A347" s="77"/>
      <c r="B347" s="159" t="s">
        <v>71</v>
      </c>
      <c r="C347" s="390">
        <v>46210</v>
      </c>
      <c r="D347" s="390">
        <v>46219</v>
      </c>
      <c r="E347" s="81">
        <v>80</v>
      </c>
      <c r="F347" s="110">
        <v>3527399</v>
      </c>
      <c r="G347" s="110" t="s">
        <v>690</v>
      </c>
      <c r="H347" s="81"/>
      <c r="I347" s="81"/>
      <c r="J347" s="81"/>
      <c r="K347" s="81"/>
      <c r="L347" s="81"/>
      <c r="M347" s="81"/>
      <c r="N347" s="393" t="s">
        <v>687</v>
      </c>
      <c r="O347" s="352">
        <v>0.3</v>
      </c>
      <c r="P347" s="352">
        <v>0.4</v>
      </c>
      <c r="Q347" s="353" t="s">
        <v>59</v>
      </c>
    </row>
    <row r="348" spans="1:17" ht="15">
      <c r="A348" s="77"/>
      <c r="B348" s="159" t="s">
        <v>71</v>
      </c>
      <c r="C348" s="390">
        <v>46210</v>
      </c>
      <c r="D348" s="390">
        <v>46219</v>
      </c>
      <c r="E348" s="81">
        <v>80</v>
      </c>
      <c r="F348" s="110">
        <v>262244</v>
      </c>
      <c r="G348" s="110" t="s">
        <v>691</v>
      </c>
      <c r="H348" s="81"/>
      <c r="I348" s="81"/>
      <c r="J348" s="81"/>
      <c r="K348" s="81"/>
      <c r="L348" s="81"/>
      <c r="M348" s="81"/>
      <c r="N348" s="393" t="s">
        <v>689</v>
      </c>
      <c r="O348" s="352">
        <v>0.3</v>
      </c>
      <c r="P348" s="352">
        <v>0.4</v>
      </c>
      <c r="Q348" s="353" t="s">
        <v>59</v>
      </c>
    </row>
    <row r="349" spans="1:17" ht="15">
      <c r="A349" s="77"/>
      <c r="B349" s="159" t="s">
        <v>71</v>
      </c>
      <c r="C349" s="390">
        <v>46210</v>
      </c>
      <c r="D349" s="390">
        <v>46219</v>
      </c>
      <c r="E349" s="81">
        <v>80</v>
      </c>
      <c r="F349" s="110">
        <v>3092865</v>
      </c>
      <c r="G349" s="110" t="s">
        <v>692</v>
      </c>
      <c r="H349" s="81"/>
      <c r="I349" s="81"/>
      <c r="J349" s="81"/>
      <c r="K349" s="81"/>
      <c r="L349" s="81"/>
      <c r="M349" s="81"/>
      <c r="N349" s="393" t="s">
        <v>689</v>
      </c>
      <c r="O349" s="352">
        <v>0.3</v>
      </c>
      <c r="P349" s="352">
        <v>0.4</v>
      </c>
      <c r="Q349" s="353" t="s">
        <v>59</v>
      </c>
    </row>
    <row r="350" spans="1:17" ht="15">
      <c r="A350" s="77"/>
      <c r="B350" s="159" t="s">
        <v>130</v>
      </c>
      <c r="C350" s="390">
        <v>46210</v>
      </c>
      <c r="D350" s="390">
        <v>46219</v>
      </c>
      <c r="E350" s="81">
        <v>80</v>
      </c>
      <c r="F350" s="110">
        <v>3698622</v>
      </c>
      <c r="G350" s="110" t="s">
        <v>746</v>
      </c>
      <c r="H350" s="81"/>
      <c r="I350" s="81"/>
      <c r="J350" s="81"/>
      <c r="K350" s="81"/>
      <c r="L350" s="81"/>
      <c r="M350" s="81"/>
      <c r="N350" s="110" t="s">
        <v>747</v>
      </c>
      <c r="O350" s="352">
        <v>0.3</v>
      </c>
      <c r="P350" s="352">
        <v>0.4</v>
      </c>
      <c r="Q350" s="353" t="s">
        <v>59</v>
      </c>
    </row>
    <row r="351" spans="1:17" ht="15">
      <c r="A351" s="77"/>
      <c r="B351" s="159" t="s">
        <v>130</v>
      </c>
      <c r="C351" s="390">
        <v>46210</v>
      </c>
      <c r="D351" s="390">
        <v>46219</v>
      </c>
      <c r="E351" s="81">
        <v>80</v>
      </c>
      <c r="F351" s="110">
        <v>1266323</v>
      </c>
      <c r="G351" s="110" t="s">
        <v>748</v>
      </c>
      <c r="H351" s="81"/>
      <c r="I351" s="81"/>
      <c r="J351" s="81"/>
      <c r="K351" s="81"/>
      <c r="L351" s="81"/>
      <c r="M351" s="81"/>
      <c r="N351" s="110" t="s">
        <v>694</v>
      </c>
      <c r="O351" s="352">
        <v>0.3</v>
      </c>
      <c r="P351" s="352">
        <v>0.4</v>
      </c>
      <c r="Q351" s="353" t="s">
        <v>59</v>
      </c>
    </row>
    <row r="352" spans="1:17" ht="15">
      <c r="A352" s="77"/>
      <c r="B352" s="159" t="s">
        <v>130</v>
      </c>
      <c r="C352" s="390">
        <v>46210</v>
      </c>
      <c r="D352" s="390">
        <v>46219</v>
      </c>
      <c r="E352" s="81">
        <v>80</v>
      </c>
      <c r="F352" s="110">
        <v>809719</v>
      </c>
      <c r="G352" s="110" t="s">
        <v>749</v>
      </c>
      <c r="H352" s="81"/>
      <c r="I352" s="81"/>
      <c r="J352" s="81"/>
      <c r="K352" s="81"/>
      <c r="L352" s="81"/>
      <c r="M352" s="81"/>
      <c r="N352" s="110" t="s">
        <v>694</v>
      </c>
      <c r="O352" s="352">
        <v>0.3</v>
      </c>
      <c r="P352" s="352">
        <v>0.4</v>
      </c>
      <c r="Q352" s="353" t="s">
        <v>59</v>
      </c>
    </row>
    <row r="353" spans="1:17" ht="15">
      <c r="A353" s="77"/>
      <c r="B353" s="159" t="s">
        <v>130</v>
      </c>
      <c r="C353" s="390">
        <v>46210</v>
      </c>
      <c r="D353" s="390">
        <v>46219</v>
      </c>
      <c r="E353" s="81">
        <v>80</v>
      </c>
      <c r="F353" s="110">
        <v>3756135</v>
      </c>
      <c r="G353" s="110" t="s">
        <v>697</v>
      </c>
      <c r="H353" s="81"/>
      <c r="I353" s="81"/>
      <c r="J353" s="81"/>
      <c r="K353" s="81"/>
      <c r="L353" s="81"/>
      <c r="M353" s="81"/>
      <c r="N353" s="110" t="s">
        <v>694</v>
      </c>
      <c r="O353" s="352">
        <v>0.3</v>
      </c>
      <c r="P353" s="352">
        <v>0.4</v>
      </c>
      <c r="Q353" s="353" t="s">
        <v>59</v>
      </c>
    </row>
    <row r="354" spans="1:17" ht="15">
      <c r="A354" s="77"/>
      <c r="B354" s="159" t="s">
        <v>130</v>
      </c>
      <c r="C354" s="390">
        <v>46210</v>
      </c>
      <c r="D354" s="390">
        <v>46219</v>
      </c>
      <c r="E354" s="81">
        <v>80</v>
      </c>
      <c r="F354" s="110">
        <v>3685812</v>
      </c>
      <c r="G354" s="110" t="s">
        <v>750</v>
      </c>
      <c r="H354" s="81"/>
      <c r="I354" s="81"/>
      <c r="J354" s="81"/>
      <c r="K354" s="81"/>
      <c r="L354" s="81"/>
      <c r="M354" s="81"/>
      <c r="N354" s="110" t="s">
        <v>694</v>
      </c>
      <c r="O354" s="352">
        <v>0.3</v>
      </c>
      <c r="P354" s="352">
        <v>0.4</v>
      </c>
      <c r="Q354" s="353" t="s">
        <v>59</v>
      </c>
    </row>
    <row r="355" spans="1:17" ht="15">
      <c r="A355" s="77"/>
      <c r="B355" s="159" t="s">
        <v>71</v>
      </c>
      <c r="C355" s="390">
        <v>46210</v>
      </c>
      <c r="D355" s="390">
        <v>46219</v>
      </c>
      <c r="E355" s="81">
        <v>80</v>
      </c>
      <c r="F355" s="110">
        <v>22275</v>
      </c>
      <c r="G355" s="110" t="s">
        <v>751</v>
      </c>
      <c r="H355" s="81"/>
      <c r="I355" s="81"/>
      <c r="J355" s="81"/>
      <c r="K355" s="81"/>
      <c r="L355" s="81"/>
      <c r="M355" s="81"/>
      <c r="N355" s="393" t="s">
        <v>700</v>
      </c>
      <c r="O355" s="352">
        <v>0.3</v>
      </c>
      <c r="P355" s="352">
        <v>0.4</v>
      </c>
      <c r="Q355" s="353" t="s">
        <v>59</v>
      </c>
    </row>
    <row r="356" spans="1:17" ht="15">
      <c r="A356" s="77"/>
      <c r="B356" s="159" t="s">
        <v>71</v>
      </c>
      <c r="C356" s="390">
        <v>46210</v>
      </c>
      <c r="D356" s="390">
        <v>46219</v>
      </c>
      <c r="E356" s="81">
        <v>80</v>
      </c>
      <c r="F356" s="110">
        <v>730077</v>
      </c>
      <c r="G356" s="110" t="s">
        <v>752</v>
      </c>
      <c r="H356" s="81"/>
      <c r="I356" s="81"/>
      <c r="J356" s="81"/>
      <c r="K356" s="81"/>
      <c r="L356" s="81"/>
      <c r="M356" s="81"/>
      <c r="N356" s="393" t="s">
        <v>700</v>
      </c>
      <c r="O356" s="352">
        <v>0.3</v>
      </c>
      <c r="P356" s="352">
        <v>0.4</v>
      </c>
      <c r="Q356" s="353" t="s">
        <v>59</v>
      </c>
    </row>
    <row r="357" spans="1:17" ht="15">
      <c r="A357" s="77"/>
      <c r="B357" s="159" t="s">
        <v>71</v>
      </c>
      <c r="C357" s="390">
        <v>46210</v>
      </c>
      <c r="D357" s="390">
        <v>46219</v>
      </c>
      <c r="E357" s="81">
        <v>80</v>
      </c>
      <c r="F357" s="110">
        <v>1127505</v>
      </c>
      <c r="G357" s="110" t="s">
        <v>753</v>
      </c>
      <c r="H357" s="81"/>
      <c r="I357" s="81"/>
      <c r="J357" s="81"/>
      <c r="K357" s="81"/>
      <c r="L357" s="81"/>
      <c r="M357" s="81"/>
      <c r="N357" s="523" t="s">
        <v>700</v>
      </c>
      <c r="O357" s="352">
        <v>0.3</v>
      </c>
      <c r="P357" s="352">
        <v>0.4</v>
      </c>
      <c r="Q357" s="353" t="s">
        <v>59</v>
      </c>
    </row>
    <row r="358" spans="1:17" ht="15">
      <c r="A358" s="77"/>
      <c r="B358" s="159" t="s">
        <v>71</v>
      </c>
      <c r="C358" s="390">
        <v>46210</v>
      </c>
      <c r="D358" s="390">
        <v>46219</v>
      </c>
      <c r="E358" s="81">
        <v>80</v>
      </c>
      <c r="F358" s="110">
        <v>907729</v>
      </c>
      <c r="G358" s="110" t="s">
        <v>754</v>
      </c>
      <c r="H358" s="81"/>
      <c r="I358" s="81"/>
      <c r="J358" s="81"/>
      <c r="K358" s="81"/>
      <c r="L358" s="81"/>
      <c r="M358" s="81"/>
      <c r="N358" s="393" t="s">
        <v>700</v>
      </c>
      <c r="O358" s="352">
        <v>0.3</v>
      </c>
      <c r="P358" s="352">
        <v>0.4</v>
      </c>
      <c r="Q358" s="353" t="s">
        <v>59</v>
      </c>
    </row>
    <row r="359" spans="1:17" ht="15">
      <c r="A359" s="77"/>
      <c r="B359" s="159" t="s">
        <v>71</v>
      </c>
      <c r="C359" s="390">
        <v>46210</v>
      </c>
      <c r="D359" s="390">
        <v>46219</v>
      </c>
      <c r="E359" s="81">
        <v>80</v>
      </c>
      <c r="F359" s="110">
        <v>437230</v>
      </c>
      <c r="G359" s="110" t="s">
        <v>755</v>
      </c>
      <c r="H359" s="81"/>
      <c r="I359" s="81"/>
      <c r="J359" s="81"/>
      <c r="K359" s="81"/>
      <c r="L359" s="81"/>
      <c r="M359" s="81"/>
      <c r="N359" s="106" t="s">
        <v>304</v>
      </c>
      <c r="O359" s="352">
        <v>0.3</v>
      </c>
      <c r="P359" s="352">
        <v>0.4</v>
      </c>
      <c r="Q359" s="353" t="s">
        <v>59</v>
      </c>
    </row>
    <row r="360" spans="1:17" ht="15">
      <c r="A360" s="77"/>
      <c r="B360" s="159" t="s">
        <v>71</v>
      </c>
      <c r="C360" s="390">
        <v>46210</v>
      </c>
      <c r="D360" s="390">
        <v>46219</v>
      </c>
      <c r="E360" s="81">
        <v>80</v>
      </c>
      <c r="F360" s="110">
        <v>177112</v>
      </c>
      <c r="G360" s="110" t="s">
        <v>756</v>
      </c>
      <c r="H360" s="81"/>
      <c r="I360" s="81"/>
      <c r="J360" s="81"/>
      <c r="K360" s="81"/>
      <c r="L360" s="81"/>
      <c r="M360" s="81"/>
      <c r="N360" s="394" t="s">
        <v>304</v>
      </c>
      <c r="O360" s="352">
        <v>0.3</v>
      </c>
      <c r="P360" s="352">
        <v>0.4</v>
      </c>
      <c r="Q360" s="353" t="s">
        <v>59</v>
      </c>
    </row>
    <row r="361" spans="1:17" ht="15">
      <c r="A361" s="77"/>
      <c r="B361" s="159" t="s">
        <v>130</v>
      </c>
      <c r="C361" s="390">
        <v>46210</v>
      </c>
      <c r="D361" s="390">
        <v>46219</v>
      </c>
      <c r="E361" s="81">
        <v>80</v>
      </c>
      <c r="F361" s="110">
        <v>3691388</v>
      </c>
      <c r="G361" s="110" t="s">
        <v>611</v>
      </c>
      <c r="H361" s="81"/>
      <c r="I361" s="81"/>
      <c r="J361" s="81"/>
      <c r="K361" s="81"/>
      <c r="L361" s="81"/>
      <c r="M361" s="81"/>
      <c r="N361" s="106" t="s">
        <v>612</v>
      </c>
      <c r="O361" s="352">
        <v>0.3</v>
      </c>
      <c r="P361" s="352">
        <v>0.4</v>
      </c>
      <c r="Q361" s="353" t="s">
        <v>59</v>
      </c>
    </row>
    <row r="362" spans="1:17" ht="15">
      <c r="A362" s="77"/>
      <c r="B362" s="403" t="s">
        <v>71</v>
      </c>
      <c r="C362" s="390">
        <v>46210</v>
      </c>
      <c r="D362" s="390">
        <v>46219</v>
      </c>
      <c r="E362" s="81">
        <v>80</v>
      </c>
      <c r="F362" s="110">
        <v>88574</v>
      </c>
      <c r="G362" s="110" t="s">
        <v>757</v>
      </c>
      <c r="H362" s="81"/>
      <c r="I362" s="81"/>
      <c r="J362" s="81"/>
      <c r="K362" s="81"/>
      <c r="L362" s="81"/>
      <c r="M362" s="81"/>
      <c r="N362" s="523" t="s">
        <v>710</v>
      </c>
      <c r="O362" s="352">
        <v>0.3</v>
      </c>
      <c r="P362" s="352">
        <v>0.4</v>
      </c>
      <c r="Q362" s="353" t="s">
        <v>59</v>
      </c>
    </row>
    <row r="363" spans="1:17" ht="15">
      <c r="A363" s="77"/>
      <c r="B363" s="403" t="s">
        <v>71</v>
      </c>
      <c r="C363" s="390">
        <v>46210</v>
      </c>
      <c r="D363" s="390">
        <v>46219</v>
      </c>
      <c r="E363" s="81">
        <v>80</v>
      </c>
      <c r="F363" s="110">
        <v>333231</v>
      </c>
      <c r="G363" s="110" t="s">
        <v>758</v>
      </c>
      <c r="H363" s="81"/>
      <c r="I363" s="81"/>
      <c r="J363" s="81"/>
      <c r="K363" s="81"/>
      <c r="L363" s="81"/>
      <c r="M363" s="81"/>
      <c r="N363" s="393" t="s">
        <v>710</v>
      </c>
      <c r="O363" s="352">
        <v>0.3</v>
      </c>
      <c r="P363" s="352">
        <v>0.4</v>
      </c>
      <c r="Q363" s="353" t="s">
        <v>59</v>
      </c>
    </row>
    <row r="364" spans="1:17" ht="15">
      <c r="A364" s="77"/>
      <c r="B364" s="403" t="s">
        <v>71</v>
      </c>
      <c r="C364" s="390">
        <v>46210</v>
      </c>
      <c r="D364" s="390">
        <v>46219</v>
      </c>
      <c r="E364" s="81">
        <v>80</v>
      </c>
      <c r="F364" s="110">
        <v>932710</v>
      </c>
      <c r="G364" s="110" t="s">
        <v>759</v>
      </c>
      <c r="H364" s="81"/>
      <c r="I364" s="81"/>
      <c r="J364" s="81"/>
      <c r="K364" s="81"/>
      <c r="L364" s="81"/>
      <c r="M364" s="81"/>
      <c r="N364" s="523" t="s">
        <v>713</v>
      </c>
      <c r="O364" s="352">
        <v>0.3</v>
      </c>
      <c r="P364" s="352">
        <v>0.4</v>
      </c>
      <c r="Q364" s="353" t="s">
        <v>59</v>
      </c>
    </row>
    <row r="365" spans="1:17" ht="15">
      <c r="A365" s="77"/>
      <c r="B365" s="403" t="s">
        <v>71</v>
      </c>
      <c r="C365" s="390">
        <v>46210</v>
      </c>
      <c r="D365" s="390">
        <v>46219</v>
      </c>
      <c r="E365" s="81">
        <v>80</v>
      </c>
      <c r="F365" s="110">
        <v>1272209</v>
      </c>
      <c r="G365" s="110" t="s">
        <v>760</v>
      </c>
      <c r="H365" s="81"/>
      <c r="I365" s="81"/>
      <c r="J365" s="81"/>
      <c r="K365" s="81"/>
      <c r="L365" s="81"/>
      <c r="M365" s="81"/>
      <c r="N365" s="393" t="s">
        <v>713</v>
      </c>
      <c r="O365" s="352">
        <v>0.3</v>
      </c>
      <c r="P365" s="352">
        <v>0.4</v>
      </c>
      <c r="Q365" s="353" t="s">
        <v>59</v>
      </c>
    </row>
    <row r="366" spans="1:17" ht="15">
      <c r="A366" s="77"/>
      <c r="B366" s="403" t="s">
        <v>71</v>
      </c>
      <c r="C366" s="390">
        <v>46210</v>
      </c>
      <c r="D366" s="390">
        <v>46219</v>
      </c>
      <c r="E366" s="81">
        <v>80</v>
      </c>
      <c r="F366" s="110">
        <v>114856</v>
      </c>
      <c r="G366" s="110" t="s">
        <v>715</v>
      </c>
      <c r="H366" s="81"/>
      <c r="I366" s="81"/>
      <c r="J366" s="81"/>
      <c r="K366" s="81"/>
      <c r="L366" s="81"/>
      <c r="M366" s="81"/>
      <c r="N366" s="393" t="s">
        <v>716</v>
      </c>
      <c r="O366" s="352">
        <v>0.3</v>
      </c>
      <c r="P366" s="352">
        <v>0.4</v>
      </c>
      <c r="Q366" s="353" t="s">
        <v>59</v>
      </c>
    </row>
    <row r="367" spans="1:17" ht="15">
      <c r="A367" s="77"/>
      <c r="B367" s="403" t="s">
        <v>71</v>
      </c>
      <c r="C367" s="390">
        <v>46210</v>
      </c>
      <c r="D367" s="390">
        <v>46219</v>
      </c>
      <c r="E367" s="81">
        <v>80</v>
      </c>
      <c r="F367" s="110">
        <v>3688582</v>
      </c>
      <c r="G367" s="110" t="s">
        <v>761</v>
      </c>
      <c r="H367" s="81"/>
      <c r="I367" s="81"/>
      <c r="J367" s="81"/>
      <c r="K367" s="81"/>
      <c r="L367" s="81"/>
      <c r="M367" s="81"/>
      <c r="N367" s="393" t="s">
        <v>304</v>
      </c>
      <c r="O367" s="352">
        <v>0.3</v>
      </c>
      <c r="P367" s="352">
        <v>0.4</v>
      </c>
      <c r="Q367" s="353" t="s">
        <v>59</v>
      </c>
    </row>
    <row r="368" spans="1:17" ht="15">
      <c r="A368" s="77"/>
      <c r="B368" s="159" t="s">
        <v>71</v>
      </c>
      <c r="C368" s="390">
        <v>46210</v>
      </c>
      <c r="D368" s="390">
        <v>46219</v>
      </c>
      <c r="E368" s="81">
        <v>80</v>
      </c>
      <c r="F368" s="110">
        <v>3760191</v>
      </c>
      <c r="G368" s="110" t="s">
        <v>762</v>
      </c>
      <c r="H368" s="81"/>
      <c r="I368" s="81"/>
      <c r="J368" s="81"/>
      <c r="K368" s="81"/>
      <c r="L368" s="81"/>
      <c r="M368" s="81"/>
      <c r="N368" s="393" t="s">
        <v>719</v>
      </c>
      <c r="O368" s="352">
        <v>0.3</v>
      </c>
      <c r="P368" s="352">
        <v>0.4</v>
      </c>
      <c r="Q368" s="353" t="s">
        <v>59</v>
      </c>
    </row>
    <row r="369" spans="1:17" ht="15">
      <c r="A369" s="77"/>
      <c r="B369" s="159" t="s">
        <v>71</v>
      </c>
      <c r="C369" s="390">
        <v>46210</v>
      </c>
      <c r="D369" s="390">
        <v>46219</v>
      </c>
      <c r="E369" s="81">
        <v>80</v>
      </c>
      <c r="F369" s="110">
        <v>3197439</v>
      </c>
      <c r="G369" s="110" t="s">
        <v>763</v>
      </c>
      <c r="H369" s="81"/>
      <c r="I369" s="81"/>
      <c r="J369" s="81"/>
      <c r="K369" s="81"/>
      <c r="L369" s="81"/>
      <c r="M369" s="81"/>
      <c r="N369" s="393" t="s">
        <v>721</v>
      </c>
      <c r="O369" s="352">
        <v>0.3</v>
      </c>
      <c r="P369" s="352">
        <v>0.4</v>
      </c>
      <c r="Q369" s="353" t="s">
        <v>59</v>
      </c>
    </row>
    <row r="370" spans="1:17" ht="15">
      <c r="A370" s="77"/>
      <c r="B370" s="159" t="s">
        <v>130</v>
      </c>
      <c r="C370" s="390">
        <v>46210</v>
      </c>
      <c r="D370" s="390">
        <v>46219</v>
      </c>
      <c r="E370" s="81">
        <v>80</v>
      </c>
      <c r="F370" s="110">
        <v>386727</v>
      </c>
      <c r="G370" s="110" t="s">
        <v>671</v>
      </c>
      <c r="H370" s="81"/>
      <c r="I370" s="81"/>
      <c r="J370" s="81"/>
      <c r="K370" s="81"/>
      <c r="L370" s="81"/>
      <c r="M370" s="81"/>
      <c r="N370" s="110" t="s">
        <v>672</v>
      </c>
      <c r="O370" s="352">
        <v>0.3</v>
      </c>
      <c r="P370" s="352">
        <v>0.4</v>
      </c>
      <c r="Q370" s="353" t="s">
        <v>59</v>
      </c>
    </row>
    <row r="371" spans="1:17" ht="15">
      <c r="A371" s="77"/>
      <c r="B371" s="159" t="s">
        <v>130</v>
      </c>
      <c r="C371" s="390">
        <v>46210</v>
      </c>
      <c r="D371" s="390">
        <v>46219</v>
      </c>
      <c r="E371" s="81">
        <v>80</v>
      </c>
      <c r="F371" s="110">
        <v>179356</v>
      </c>
      <c r="G371" s="110" t="s">
        <v>673</v>
      </c>
      <c r="H371" s="81"/>
      <c r="I371" s="81"/>
      <c r="J371" s="81"/>
      <c r="K371" s="81"/>
      <c r="L371" s="81"/>
      <c r="M371" s="81"/>
      <c r="N371" s="110" t="s">
        <v>672</v>
      </c>
      <c r="O371" s="352">
        <v>0.3</v>
      </c>
      <c r="P371" s="352">
        <v>0.4</v>
      </c>
      <c r="Q371" s="353" t="s">
        <v>59</v>
      </c>
    </row>
    <row r="372" spans="1:17" ht="15">
      <c r="A372" s="77"/>
      <c r="B372" s="159" t="s">
        <v>130</v>
      </c>
      <c r="C372" s="390">
        <v>46210</v>
      </c>
      <c r="D372" s="390">
        <v>46219</v>
      </c>
      <c r="E372" s="81">
        <v>80</v>
      </c>
      <c r="F372" s="110">
        <v>3569619</v>
      </c>
      <c r="G372" s="110" t="s">
        <v>764</v>
      </c>
      <c r="H372" s="81"/>
      <c r="I372" s="81"/>
      <c r="J372" s="81"/>
      <c r="K372" s="81"/>
      <c r="L372" s="81"/>
      <c r="M372" s="81"/>
      <c r="N372" s="110" t="s">
        <v>765</v>
      </c>
      <c r="O372" s="352">
        <v>0.3</v>
      </c>
      <c r="P372" s="352">
        <v>0.4</v>
      </c>
      <c r="Q372" s="353" t="s">
        <v>59</v>
      </c>
    </row>
  </sheetData>
  <mergeCells count="45">
    <mergeCell ref="Q41:Q44"/>
    <mergeCell ref="Q45:Q48"/>
    <mergeCell ref="Q50:Q52"/>
    <mergeCell ref="Q53:Q55"/>
    <mergeCell ref="B84:P84"/>
    <mergeCell ref="O57:O61"/>
    <mergeCell ref="O62:O66"/>
    <mergeCell ref="O80:O83"/>
    <mergeCell ref="O98:O100"/>
    <mergeCell ref="O102:O107"/>
    <mergeCell ref="O111:O122"/>
    <mergeCell ref="B124:B127"/>
    <mergeCell ref="O95:O96"/>
    <mergeCell ref="B2:P2"/>
    <mergeCell ref="O8:O23"/>
    <mergeCell ref="A85:A146"/>
    <mergeCell ref="B80:B83"/>
    <mergeCell ref="B77:B78"/>
    <mergeCell ref="B74:B75"/>
    <mergeCell ref="B70:B72"/>
    <mergeCell ref="B57:B66"/>
    <mergeCell ref="B50:B55"/>
    <mergeCell ref="B41:B48"/>
    <mergeCell ref="B25:B36"/>
    <mergeCell ref="B8:B23"/>
    <mergeCell ref="B4:B6"/>
    <mergeCell ref="A2:A36"/>
    <mergeCell ref="A40:A68"/>
    <mergeCell ref="O92:O94"/>
    <mergeCell ref="B152:B154"/>
    <mergeCell ref="O338:P338"/>
    <mergeCell ref="A69:A84"/>
    <mergeCell ref="B86:B96"/>
    <mergeCell ref="B98:B100"/>
    <mergeCell ref="B102:B107"/>
    <mergeCell ref="B111:B122"/>
    <mergeCell ref="B192:P192"/>
    <mergeCell ref="G128:M128"/>
    <mergeCell ref="O133:O142"/>
    <mergeCell ref="A147:A191"/>
    <mergeCell ref="O148:O150"/>
    <mergeCell ref="O156:O167"/>
    <mergeCell ref="O180:O189"/>
    <mergeCell ref="B133:B142"/>
    <mergeCell ref="B143:B144"/>
  </mergeCells>
  <phoneticPr fontId="19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topLeftCell="A20" workbookViewId="0">
      <selection activeCell="E39" sqref="E39"/>
    </sheetView>
  </sheetViews>
  <sheetFormatPr baseColWidth="10" defaultColWidth="11.42578125" defaultRowHeight="15"/>
  <cols>
    <col min="1" max="1" width="11.5703125" customWidth="1"/>
    <col min="2" max="2" width="38.5703125" bestFit="1" customWidth="1"/>
    <col min="3" max="3" width="20.42578125" bestFit="1" customWidth="1"/>
    <col min="4" max="4" width="20" bestFit="1" customWidth="1"/>
  </cols>
  <sheetData>
    <row r="1" spans="1:5">
      <c r="A1" s="27" t="s">
        <v>766</v>
      </c>
      <c r="B1" s="27" t="s">
        <v>767</v>
      </c>
      <c r="C1" s="27" t="s">
        <v>768</v>
      </c>
      <c r="D1" s="27" t="s">
        <v>769</v>
      </c>
    </row>
    <row r="2" spans="1:5">
      <c r="A2" s="156">
        <v>1692658</v>
      </c>
      <c r="B2" s="332" t="s">
        <v>770</v>
      </c>
      <c r="C2" s="332" t="s">
        <v>771</v>
      </c>
      <c r="D2" s="332" t="s">
        <v>772</v>
      </c>
      <c r="E2" t="str">
        <f>+A2&amp;";"&amp;E1</f>
        <v>1692658;</v>
      </c>
    </row>
    <row r="3" spans="1:5">
      <c r="A3" s="157">
        <v>1692659</v>
      </c>
      <c r="B3" s="333" t="s">
        <v>773</v>
      </c>
      <c r="C3" s="333" t="s">
        <v>771</v>
      </c>
      <c r="D3" s="333" t="s">
        <v>772</v>
      </c>
      <c r="E3" t="str">
        <f t="shared" ref="E3:E39" si="0">+A3&amp;";"&amp;E2</f>
        <v>1692659;1692658;</v>
      </c>
    </row>
    <row r="4" spans="1:5">
      <c r="A4" s="157">
        <v>1692660</v>
      </c>
      <c r="B4" s="333" t="s">
        <v>774</v>
      </c>
      <c r="C4" s="333" t="s">
        <v>771</v>
      </c>
      <c r="D4" s="333" t="s">
        <v>772</v>
      </c>
      <c r="E4" t="str">
        <f t="shared" si="0"/>
        <v>1692660;1692659;1692658;</v>
      </c>
    </row>
    <row r="5" spans="1:5">
      <c r="A5" s="157">
        <v>1692668</v>
      </c>
      <c r="B5" s="333" t="s">
        <v>775</v>
      </c>
      <c r="C5" s="333" t="s">
        <v>771</v>
      </c>
      <c r="D5" s="333" t="s">
        <v>772</v>
      </c>
      <c r="E5" t="str">
        <f t="shared" si="0"/>
        <v>1692668;1692660;1692659;1692658;</v>
      </c>
    </row>
    <row r="6" spans="1:5">
      <c r="A6" s="157">
        <v>1692664</v>
      </c>
      <c r="B6" s="333" t="s">
        <v>776</v>
      </c>
      <c r="C6" s="333" t="s">
        <v>771</v>
      </c>
      <c r="D6" s="333" t="s">
        <v>772</v>
      </c>
      <c r="E6" t="str">
        <f t="shared" si="0"/>
        <v>1692664;1692668;1692660;1692659;1692658;</v>
      </c>
    </row>
    <row r="7" spans="1:5">
      <c r="A7" s="157">
        <v>1692665</v>
      </c>
      <c r="B7" s="333" t="s">
        <v>777</v>
      </c>
      <c r="C7" s="333" t="s">
        <v>771</v>
      </c>
      <c r="D7" s="333" t="s">
        <v>772</v>
      </c>
      <c r="E7" t="str">
        <f t="shared" si="0"/>
        <v>1692665;1692664;1692668;1692660;1692659;1692658;</v>
      </c>
    </row>
    <row r="8" spans="1:5">
      <c r="A8" s="334">
        <v>1744046</v>
      </c>
      <c r="B8" s="176" t="s">
        <v>778</v>
      </c>
      <c r="C8" s="333" t="s">
        <v>771</v>
      </c>
      <c r="D8" s="333" t="s">
        <v>772</v>
      </c>
      <c r="E8" t="str">
        <f t="shared" si="0"/>
        <v>1744046;1692665;1692664;1692668;1692660;1692659;1692658;</v>
      </c>
    </row>
    <row r="9" spans="1:5">
      <c r="A9" s="334">
        <v>1744045</v>
      </c>
      <c r="B9" s="176" t="s">
        <v>779</v>
      </c>
      <c r="C9" s="333" t="s">
        <v>771</v>
      </c>
      <c r="D9" s="333" t="s">
        <v>772</v>
      </c>
      <c r="E9" t="str">
        <f t="shared" si="0"/>
        <v>1744045;1744046;1692665;1692664;1692668;1692660;1692659;1692658;</v>
      </c>
    </row>
    <row r="10" spans="1:5">
      <c r="A10" s="334">
        <v>529235</v>
      </c>
      <c r="B10" s="176" t="s">
        <v>780</v>
      </c>
      <c r="C10" s="333" t="s">
        <v>771</v>
      </c>
      <c r="D10" s="333" t="s">
        <v>772</v>
      </c>
      <c r="E10" t="str">
        <f t="shared" si="0"/>
        <v>529235;1744045;1744046;1692665;1692664;1692668;1692660;1692659;1692658;</v>
      </c>
    </row>
    <row r="11" spans="1:5">
      <c r="A11" s="157">
        <v>1692661</v>
      </c>
      <c r="B11" s="333" t="s">
        <v>781</v>
      </c>
      <c r="C11" s="333" t="s">
        <v>771</v>
      </c>
      <c r="D11" s="333" t="s">
        <v>772</v>
      </c>
      <c r="E11" t="str">
        <f t="shared" si="0"/>
        <v>1692661;529235;1744045;1744046;1692665;1692664;1692668;1692660;1692659;1692658;</v>
      </c>
    </row>
    <row r="12" spans="1:5">
      <c r="A12" s="157">
        <v>1692662</v>
      </c>
      <c r="B12" s="333" t="s">
        <v>782</v>
      </c>
      <c r="C12" s="333" t="s">
        <v>771</v>
      </c>
      <c r="D12" s="333" t="s">
        <v>772</v>
      </c>
      <c r="E12" t="str">
        <f t="shared" si="0"/>
        <v>1692662;1692661;529235;1744045;1744046;1692665;1692664;1692668;1692660;1692659;1692658;</v>
      </c>
    </row>
    <row r="13" spans="1:5">
      <c r="A13" s="157">
        <v>1692663</v>
      </c>
      <c r="B13" s="333" t="s">
        <v>783</v>
      </c>
      <c r="C13" s="333" t="s">
        <v>771</v>
      </c>
      <c r="D13" s="333" t="s">
        <v>772</v>
      </c>
      <c r="E13" t="str">
        <f t="shared" si="0"/>
        <v>1692663;1692662;1692661;529235;1744045;1744046;1692665;1692664;1692668;1692660;1692659;1692658;</v>
      </c>
    </row>
    <row r="14" spans="1:5">
      <c r="A14" s="334">
        <v>906049</v>
      </c>
      <c r="B14" s="333" t="s">
        <v>784</v>
      </c>
      <c r="C14" s="333" t="s">
        <v>785</v>
      </c>
      <c r="D14" s="333" t="s">
        <v>786</v>
      </c>
      <c r="E14" t="str">
        <f t="shared" si="0"/>
        <v>906049;1692663;1692662;1692661;529235;1744045;1744046;1692665;1692664;1692668;1692660;1692659;1692658;</v>
      </c>
    </row>
    <row r="15" spans="1:5">
      <c r="A15" s="334">
        <v>596799</v>
      </c>
      <c r="B15" s="176" t="s">
        <v>787</v>
      </c>
      <c r="C15" s="333" t="s">
        <v>785</v>
      </c>
      <c r="D15" s="333" t="s">
        <v>786</v>
      </c>
      <c r="E15" t="str">
        <f t="shared" si="0"/>
        <v>596799;906049;1692663;1692662;1692661;529235;1744045;1744046;1692665;1692664;1692668;1692660;1692659;1692658;</v>
      </c>
    </row>
    <row r="16" spans="1:5">
      <c r="A16" s="334">
        <v>197388</v>
      </c>
      <c r="B16" s="333" t="s">
        <v>788</v>
      </c>
      <c r="C16" s="333" t="s">
        <v>785</v>
      </c>
      <c r="D16" s="333" t="s">
        <v>786</v>
      </c>
      <c r="E16" t="str">
        <f t="shared" si="0"/>
        <v>197388;596799;906049;1692663;1692662;1692661;529235;1744045;1744046;1692665;1692664;1692668;1692660;1692659;1692658;</v>
      </c>
    </row>
    <row r="17" spans="1:5">
      <c r="A17" s="334">
        <v>197955</v>
      </c>
      <c r="B17" s="333" t="s">
        <v>789</v>
      </c>
      <c r="C17" s="333" t="s">
        <v>785</v>
      </c>
      <c r="D17" s="333" t="s">
        <v>786</v>
      </c>
      <c r="E17" t="str">
        <f t="shared" si="0"/>
        <v>197955;197388;596799;906049;1692663;1692662;1692661;529235;1744045;1744046;1692665;1692664;1692668;1692660;1692659;1692658;</v>
      </c>
    </row>
    <row r="18" spans="1:5">
      <c r="A18" s="334">
        <v>3594339</v>
      </c>
      <c r="B18" s="333" t="s">
        <v>790</v>
      </c>
      <c r="C18" s="333" t="s">
        <v>785</v>
      </c>
      <c r="D18" s="333" t="s">
        <v>786</v>
      </c>
      <c r="E18" t="str">
        <f t="shared" si="0"/>
        <v>3594339;197955;197388;596799;906049;1692663;1692662;1692661;529235;1744045;1744046;1692665;1692664;1692668;1692660;1692659;1692658;</v>
      </c>
    </row>
    <row r="19" spans="1:5">
      <c r="A19" s="334">
        <v>3594339</v>
      </c>
      <c r="B19" s="333" t="s">
        <v>790</v>
      </c>
      <c r="C19" s="333" t="s">
        <v>791</v>
      </c>
      <c r="D19" s="333" t="s">
        <v>499</v>
      </c>
      <c r="E19" t="str">
        <f t="shared" si="0"/>
        <v>3594339;3594339;197955;197388;596799;906049;1692663;1692662;1692661;529235;1744045;1744046;1692665;1692664;1692668;1692660;1692659;1692658;</v>
      </c>
    </row>
    <row r="20" spans="1:5">
      <c r="A20" s="157">
        <v>3594340</v>
      </c>
      <c r="B20" s="333" t="s">
        <v>792</v>
      </c>
      <c r="C20" s="333" t="s">
        <v>791</v>
      </c>
      <c r="D20" s="333" t="s">
        <v>499</v>
      </c>
      <c r="E20" t="str">
        <f t="shared" si="0"/>
        <v>3594340;3594339;3594339;197955;197388;596799;906049;1692663;1692662;1692661;529235;1744045;1744046;1692665;1692664;1692668;1692660;1692659;1692658;</v>
      </c>
    </row>
    <row r="21" spans="1:5">
      <c r="A21" s="157">
        <v>3594342</v>
      </c>
      <c r="B21" s="333" t="s">
        <v>793</v>
      </c>
      <c r="C21" s="333" t="s">
        <v>791</v>
      </c>
      <c r="D21" s="333" t="s">
        <v>499</v>
      </c>
      <c r="E21" t="str">
        <f t="shared" si="0"/>
        <v>3594342;3594340;3594339;3594339;197955;197388;596799;906049;1692663;1692662;1692661;529235;1744045;1744046;1692665;1692664;1692668;1692660;1692659;1692658;</v>
      </c>
    </row>
    <row r="22" spans="1:5">
      <c r="A22" s="157">
        <v>3594343</v>
      </c>
      <c r="B22" s="333" t="s">
        <v>794</v>
      </c>
      <c r="C22" s="333" t="s">
        <v>791</v>
      </c>
      <c r="D22" s="333" t="s">
        <v>499</v>
      </c>
      <c r="E22" t="str">
        <f t="shared" si="0"/>
        <v>3594343;3594342;3594340;3594339;3594339;197955;197388;596799;906049;1692663;1692662;1692661;529235;1744045;1744046;1692665;1692664;1692668;1692660;1692659;1692658;</v>
      </c>
    </row>
    <row r="23" spans="1:5">
      <c r="A23" s="334">
        <v>871165</v>
      </c>
      <c r="B23" s="333" t="s">
        <v>795</v>
      </c>
      <c r="C23" s="333" t="s">
        <v>785</v>
      </c>
      <c r="D23" s="333" t="s">
        <v>786</v>
      </c>
      <c r="E23" t="str">
        <f t="shared" si="0"/>
        <v>871165;3594343;3594342;3594340;3594339;3594339;197955;197388;596799;906049;1692663;1692662;1692661;529235;1744045;1744046;1692665;1692664;1692668;1692660;1692659;1692658;</v>
      </c>
    </row>
    <row r="24" spans="1:5">
      <c r="A24" s="334">
        <v>871165</v>
      </c>
      <c r="B24" s="333" t="s">
        <v>796</v>
      </c>
      <c r="C24" s="333" t="s">
        <v>791</v>
      </c>
      <c r="D24" s="333" t="s">
        <v>499</v>
      </c>
      <c r="E24" t="str">
        <f t="shared" si="0"/>
        <v>871165;871165;3594343;3594342;3594340;3594339;3594339;197955;197388;596799;906049;1692663;1692662;1692661;529235;1744045;1744046;1692665;1692664;1692668;1692660;1692659;1692658;</v>
      </c>
    </row>
    <row r="25" spans="1:5">
      <c r="A25" s="157">
        <v>784319</v>
      </c>
      <c r="B25" s="333" t="s">
        <v>797</v>
      </c>
      <c r="C25" s="333" t="s">
        <v>785</v>
      </c>
      <c r="D25" s="333" t="s">
        <v>786</v>
      </c>
      <c r="E25" t="str">
        <f t="shared" si="0"/>
        <v>784319;871165;871165;3594343;3594342;3594340;3594339;3594339;197955;197388;596799;906049;1692663;1692662;1692661;529235;1744045;1744046;1692665;1692664;1692668;1692660;1692659;1692658;</v>
      </c>
    </row>
    <row r="26" spans="1:5">
      <c r="A26" s="157">
        <v>784319</v>
      </c>
      <c r="B26" s="333" t="s">
        <v>797</v>
      </c>
      <c r="C26" s="333" t="s">
        <v>791</v>
      </c>
      <c r="D26" s="333" t="s">
        <v>499</v>
      </c>
      <c r="E26" t="str">
        <f t="shared" si="0"/>
        <v>784319;784319;871165;871165;3594343;3594342;3594340;3594339;3594339;197955;197388;596799;906049;1692663;1692662;1692661;529235;1744045;1744046;1692665;1692664;1692668;1692660;1692659;1692658;</v>
      </c>
    </row>
    <row r="27" spans="1:5">
      <c r="A27" s="157">
        <v>3594338</v>
      </c>
      <c r="B27" s="333" t="s">
        <v>798</v>
      </c>
      <c r="C27" s="333" t="s">
        <v>785</v>
      </c>
      <c r="D27" s="333" t="s">
        <v>786</v>
      </c>
      <c r="E27" t="str">
        <f t="shared" si="0"/>
        <v>3594338;784319;784319;871165;871165;3594343;3594342;3594340;3594339;3594339;197955;197388;596799;906049;1692663;1692662;1692661;529235;1744045;1744046;1692665;1692664;1692668;1692660;1692659;1692658;</v>
      </c>
    </row>
    <row r="28" spans="1:5">
      <c r="A28" s="157">
        <v>3594338</v>
      </c>
      <c r="B28" s="333" t="s">
        <v>798</v>
      </c>
      <c r="C28" s="333" t="s">
        <v>791</v>
      </c>
      <c r="D28" s="333" t="s">
        <v>499</v>
      </c>
      <c r="E28" t="str">
        <f t="shared" si="0"/>
        <v>3594338;3594338;784319;784319;871165;871165;3594343;3594342;3594340;3594339;3594339;197955;197388;596799;906049;1692663;1692662;1692661;529235;1744045;1744046;1692665;1692664;1692668;1692660;1692659;1692658;</v>
      </c>
    </row>
    <row r="29" spans="1:5">
      <c r="A29" s="157">
        <v>3401956</v>
      </c>
      <c r="B29" s="333" t="s">
        <v>799</v>
      </c>
      <c r="C29" s="333" t="s">
        <v>785</v>
      </c>
      <c r="D29" s="333" t="s">
        <v>786</v>
      </c>
      <c r="E29" t="str">
        <f t="shared" si="0"/>
        <v>3401956;3594338;3594338;784319;784319;871165;871165;3594343;3594342;3594340;3594339;3594339;197955;197388;596799;906049;1692663;1692662;1692661;529235;1744045;1744046;1692665;1692664;1692668;1692660;1692659;1692658;</v>
      </c>
    </row>
    <row r="30" spans="1:5">
      <c r="A30" s="157">
        <v>3401959</v>
      </c>
      <c r="B30" s="333" t="s">
        <v>800</v>
      </c>
      <c r="C30" s="333" t="s">
        <v>785</v>
      </c>
      <c r="D30" s="333" t="s">
        <v>786</v>
      </c>
      <c r="E30" t="str">
        <f t="shared" si="0"/>
        <v>3401959;3401956;3594338;3594338;784319;784319;871165;871165;3594343;3594342;3594340;3594339;3594339;197955;197388;596799;906049;1692663;1692662;1692661;529235;1744045;1744046;1692665;1692664;1692668;1692660;1692659;1692658;</v>
      </c>
    </row>
    <row r="31" spans="1:5">
      <c r="A31" s="157">
        <v>3401961</v>
      </c>
      <c r="B31" s="333" t="s">
        <v>801</v>
      </c>
      <c r="C31" s="333" t="s">
        <v>785</v>
      </c>
      <c r="D31" s="333" t="s">
        <v>786</v>
      </c>
      <c r="E31" t="str">
        <f t="shared" si="0"/>
        <v>3401961;3401959;3401956;3594338;3594338;784319;784319;871165;871165;3594343;3594342;3594340;3594339;3594339;197955;197388;596799;906049;1692663;1692662;1692661;529235;1744045;1744046;1692665;1692664;1692668;1692660;1692659;1692658;</v>
      </c>
    </row>
    <row r="32" spans="1:5">
      <c r="A32" s="157">
        <v>971982</v>
      </c>
      <c r="B32" s="333" t="s">
        <v>802</v>
      </c>
      <c r="C32" s="303" t="s">
        <v>803</v>
      </c>
      <c r="D32" s="333" t="s">
        <v>804</v>
      </c>
      <c r="E32" t="str">
        <f t="shared" si="0"/>
        <v>971982;3401961;3401959;3401956;3594338;3594338;784319;784319;871165;871165;3594343;3594342;3594340;3594339;3594339;197955;197388;596799;906049;1692663;1692662;1692661;529235;1744045;1744046;1692665;1692664;1692668;1692660;1692659;1692658;</v>
      </c>
    </row>
    <row r="33" spans="1:5">
      <c r="A33" s="157">
        <v>1434789</v>
      </c>
      <c r="B33" s="333" t="s">
        <v>805</v>
      </c>
      <c r="C33" s="333" t="s">
        <v>785</v>
      </c>
      <c r="D33" s="333" t="s">
        <v>786</v>
      </c>
      <c r="E33" t="str">
        <f t="shared" si="0"/>
        <v>1434789;971982;3401961;3401959;3401956;3594338;3594338;784319;784319;871165;871165;3594343;3594342;3594340;3594339;3594339;197955;197388;596799;906049;1692663;1692662;1692661;529235;1744045;1744046;1692665;1692664;1692668;1692660;1692659;1692658;</v>
      </c>
    </row>
    <row r="34" spans="1:5">
      <c r="A34" s="157">
        <v>823945</v>
      </c>
      <c r="B34" s="333" t="s">
        <v>806</v>
      </c>
      <c r="C34" s="333" t="s">
        <v>785</v>
      </c>
      <c r="D34" s="333" t="s">
        <v>786</v>
      </c>
      <c r="E34" t="str">
        <f t="shared" si="0"/>
        <v>823945;1434789;971982;3401961;3401959;3401956;3594338;3594338;784319;784319;871165;871165;3594343;3594342;3594340;3594339;3594339;197955;197388;596799;906049;1692663;1692662;1692661;529235;1744045;1744046;1692665;1692664;1692668;1692660;1692659;1692658;</v>
      </c>
    </row>
    <row r="35" spans="1:5">
      <c r="A35" s="157">
        <v>821990</v>
      </c>
      <c r="B35" s="333" t="s">
        <v>807</v>
      </c>
      <c r="C35" s="333" t="s">
        <v>785</v>
      </c>
      <c r="D35" s="333" t="s">
        <v>786</v>
      </c>
      <c r="E35" t="str">
        <f t="shared" si="0"/>
        <v>821990;823945;1434789;971982;3401961;3401959;3401956;3594338;3594338;784319;784319;871165;871165;3594343;3594342;3594340;3594339;3594339;197955;197388;596799;906049;1692663;1692662;1692661;529235;1744045;1744046;1692665;1692664;1692668;1692660;1692659;1692658;</v>
      </c>
    </row>
    <row r="36" spans="1:5">
      <c r="A36" s="157">
        <v>3544614</v>
      </c>
      <c r="B36" s="333" t="s">
        <v>808</v>
      </c>
      <c r="C36" s="333" t="s">
        <v>809</v>
      </c>
      <c r="D36" s="333" t="s">
        <v>810</v>
      </c>
      <c r="E36" t="str">
        <f t="shared" si="0"/>
        <v>3544614;821990;823945;1434789;971982;3401961;3401959;3401956;3594338;3594338;784319;784319;871165;871165;3594343;3594342;3594340;3594339;3594339;197955;197388;596799;906049;1692663;1692662;1692661;529235;1744045;1744046;1692665;1692664;1692668;1692660;1692659;1692658;</v>
      </c>
    </row>
    <row r="37" spans="1:5">
      <c r="A37" s="157">
        <v>3544616</v>
      </c>
      <c r="B37" s="333" t="s">
        <v>811</v>
      </c>
      <c r="C37" s="333" t="s">
        <v>809</v>
      </c>
      <c r="D37" s="333" t="s">
        <v>810</v>
      </c>
      <c r="E37" t="str">
        <f t="shared" si="0"/>
        <v>3544616;3544614;821990;823945;1434789;971982;3401961;3401959;3401956;3594338;3594338;784319;784319;871165;871165;3594343;3594342;3594340;3594339;3594339;197955;197388;596799;906049;1692663;1692662;1692661;529235;1744045;1744046;1692665;1692664;1692668;1692660;1692659;1692658;</v>
      </c>
    </row>
    <row r="38" spans="1:5">
      <c r="A38" s="157">
        <v>3544615</v>
      </c>
      <c r="B38" s="333" t="s">
        <v>812</v>
      </c>
      <c r="C38" s="333" t="s">
        <v>809</v>
      </c>
      <c r="D38" s="333" t="s">
        <v>810</v>
      </c>
      <c r="E38" t="str">
        <f t="shared" si="0"/>
        <v>3544615;3544616;3544614;821990;823945;1434789;971982;3401961;3401959;3401956;3594338;3594338;784319;784319;871165;871165;3594343;3594342;3594340;3594339;3594339;197955;197388;596799;906049;1692663;1692662;1692661;529235;1744045;1744046;1692665;1692664;1692668;1692660;1692659;1692658;</v>
      </c>
    </row>
    <row r="39" spans="1:5">
      <c r="A39" s="157">
        <v>3544613</v>
      </c>
      <c r="B39" s="333" t="s">
        <v>813</v>
      </c>
      <c r="C39" s="333" t="s">
        <v>809</v>
      </c>
      <c r="D39" s="333" t="s">
        <v>810</v>
      </c>
      <c r="E39" t="str">
        <f t="shared" si="0"/>
        <v>3544613;3544615;3544616;3544614;821990;823945;1434789;971982;3401961;3401959;3401956;3594338;3594338;784319;784319;871165;871165;3594343;3594342;3594340;3594339;3594339;197955;197388;596799;906049;1692663;1692662;1692661;529235;1744045;1744046;1692665;1692664;1692668;1692660;1692659;1692658;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2F0A-E456-4E92-ABC2-DF29BECF476E}">
  <dimension ref="A1:B34"/>
  <sheetViews>
    <sheetView workbookViewId="0">
      <selection activeCell="F11" sqref="F11"/>
    </sheetView>
  </sheetViews>
  <sheetFormatPr baseColWidth="10" defaultColWidth="9.140625" defaultRowHeight="15"/>
  <cols>
    <col min="2" max="2" width="42.5703125" bestFit="1" customWidth="1"/>
  </cols>
  <sheetData>
    <row r="1" spans="1:2">
      <c r="A1" s="337" t="s">
        <v>814</v>
      </c>
      <c r="B1" s="338" t="s">
        <v>815</v>
      </c>
    </row>
    <row r="2" spans="1:2">
      <c r="A2" s="336">
        <v>1407146</v>
      </c>
      <c r="B2" s="335" t="s">
        <v>816</v>
      </c>
    </row>
    <row r="3" spans="1:2">
      <c r="A3" s="336">
        <v>1407150</v>
      </c>
      <c r="B3" s="335" t="s">
        <v>817</v>
      </c>
    </row>
    <row r="4" spans="1:2">
      <c r="A4" s="336">
        <v>4793</v>
      </c>
      <c r="B4" s="335" t="s">
        <v>818</v>
      </c>
    </row>
    <row r="5" spans="1:2">
      <c r="A5" s="336">
        <v>4389</v>
      </c>
      <c r="B5" s="335" t="s">
        <v>819</v>
      </c>
    </row>
    <row r="6" spans="1:2">
      <c r="A6" s="336">
        <v>6552</v>
      </c>
      <c r="B6" s="335" t="s">
        <v>820</v>
      </c>
    </row>
    <row r="7" spans="1:2">
      <c r="A7" s="336">
        <v>6610</v>
      </c>
      <c r="B7" s="335" t="s">
        <v>821</v>
      </c>
    </row>
    <row r="8" spans="1:2">
      <c r="A8" s="336">
        <v>7030</v>
      </c>
      <c r="B8" s="335" t="s">
        <v>822</v>
      </c>
    </row>
    <row r="9" spans="1:2">
      <c r="A9" s="336">
        <v>536715</v>
      </c>
      <c r="B9" s="335" t="s">
        <v>823</v>
      </c>
    </row>
    <row r="10" spans="1:2">
      <c r="A10" s="336">
        <v>536805</v>
      </c>
      <c r="B10" s="335" t="s">
        <v>824</v>
      </c>
    </row>
    <row r="11" spans="1:2">
      <c r="A11" s="336">
        <v>677207</v>
      </c>
      <c r="B11" s="335" t="s">
        <v>825</v>
      </c>
    </row>
    <row r="12" spans="1:2">
      <c r="A12" s="336">
        <v>677223</v>
      </c>
      <c r="B12" s="335" t="s">
        <v>826</v>
      </c>
    </row>
    <row r="13" spans="1:2">
      <c r="A13" s="336">
        <v>677313</v>
      </c>
      <c r="B13" s="335" t="s">
        <v>827</v>
      </c>
    </row>
    <row r="14" spans="1:2">
      <c r="A14" s="336">
        <v>842223</v>
      </c>
      <c r="B14" s="335" t="s">
        <v>828</v>
      </c>
    </row>
    <row r="15" spans="1:2">
      <c r="A15" s="336">
        <v>920638</v>
      </c>
      <c r="B15" s="335" t="s">
        <v>829</v>
      </c>
    </row>
    <row r="16" spans="1:2">
      <c r="A16" s="336">
        <v>937121</v>
      </c>
      <c r="B16" s="335" t="s">
        <v>830</v>
      </c>
    </row>
    <row r="17" spans="1:2">
      <c r="A17" s="336">
        <v>940447</v>
      </c>
      <c r="B17" s="335" t="s">
        <v>831</v>
      </c>
    </row>
    <row r="18" spans="1:2">
      <c r="A18" s="336">
        <v>940473</v>
      </c>
      <c r="B18" s="335" t="s">
        <v>832</v>
      </c>
    </row>
    <row r="19" spans="1:2">
      <c r="A19" s="336">
        <v>940488</v>
      </c>
      <c r="B19" s="335" t="s">
        <v>833</v>
      </c>
    </row>
    <row r="20" spans="1:2">
      <c r="A20" s="336">
        <v>940780</v>
      </c>
      <c r="B20" s="335" t="s">
        <v>834</v>
      </c>
    </row>
    <row r="21" spans="1:2">
      <c r="A21" s="336">
        <v>971595</v>
      </c>
      <c r="B21" s="335" t="s">
        <v>835</v>
      </c>
    </row>
    <row r="22" spans="1:2">
      <c r="A22" s="336">
        <v>3401951</v>
      </c>
      <c r="B22" s="335" t="s">
        <v>836</v>
      </c>
    </row>
    <row r="23" spans="1:2">
      <c r="A23" s="336">
        <v>3401952</v>
      </c>
      <c r="B23" s="335" t="s">
        <v>837</v>
      </c>
    </row>
    <row r="24" spans="1:2">
      <c r="A24" s="336">
        <v>3401954</v>
      </c>
      <c r="B24" s="335" t="s">
        <v>838</v>
      </c>
    </row>
    <row r="25" spans="1:2">
      <c r="A25" s="336">
        <v>3401955</v>
      </c>
      <c r="B25" s="335" t="s">
        <v>839</v>
      </c>
    </row>
    <row r="26" spans="1:2">
      <c r="A26" s="336">
        <v>3421200</v>
      </c>
      <c r="B26" s="335" t="s">
        <v>840</v>
      </c>
    </row>
    <row r="27" spans="1:2">
      <c r="A27" s="336">
        <v>3421201</v>
      </c>
      <c r="B27" s="335" t="s">
        <v>841</v>
      </c>
    </row>
    <row r="28" spans="1:2">
      <c r="A28" s="336">
        <v>3421202</v>
      </c>
      <c r="B28" s="335" t="s">
        <v>842</v>
      </c>
    </row>
    <row r="29" spans="1:2">
      <c r="A29" s="336">
        <v>940500</v>
      </c>
      <c r="B29" s="335" t="s">
        <v>843</v>
      </c>
    </row>
    <row r="30" spans="1:2">
      <c r="A30" s="336">
        <v>1184306</v>
      </c>
      <c r="B30" s="335" t="s">
        <v>844</v>
      </c>
    </row>
    <row r="31" spans="1:2">
      <c r="A31" s="336">
        <v>1184307</v>
      </c>
      <c r="B31" s="335" t="s">
        <v>845</v>
      </c>
    </row>
    <row r="32" spans="1:2">
      <c r="A32" s="336">
        <v>344472</v>
      </c>
      <c r="B32" s="335" t="s">
        <v>846</v>
      </c>
    </row>
    <row r="33" spans="1:2">
      <c r="A33" s="336">
        <v>536969</v>
      </c>
      <c r="B33" s="335" t="s">
        <v>847</v>
      </c>
    </row>
    <row r="34" spans="1:2">
      <c r="A34" s="336">
        <v>344547</v>
      </c>
      <c r="B34" s="335" t="s">
        <v>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7372-9AC5-45AA-A577-195FB4851E0B}">
  <dimension ref="A1:B51"/>
  <sheetViews>
    <sheetView workbookViewId="0">
      <selection activeCell="F5" sqref="F5"/>
    </sheetView>
  </sheetViews>
  <sheetFormatPr baseColWidth="10" defaultColWidth="9.140625" defaultRowHeight="15"/>
  <cols>
    <col min="2" max="2" width="45.42578125" bestFit="1" customWidth="1"/>
  </cols>
  <sheetData>
    <row r="1" spans="1:2">
      <c r="A1" s="340" t="s">
        <v>814</v>
      </c>
      <c r="B1" s="339" t="s">
        <v>815</v>
      </c>
    </row>
    <row r="2" spans="1:2">
      <c r="A2" s="66">
        <v>1411801</v>
      </c>
      <c r="B2" s="303" t="s">
        <v>849</v>
      </c>
    </row>
    <row r="3" spans="1:2">
      <c r="A3" s="66">
        <v>1411799</v>
      </c>
      <c r="B3" s="303" t="s">
        <v>850</v>
      </c>
    </row>
    <row r="4" spans="1:2">
      <c r="A4" s="66">
        <v>1810872</v>
      </c>
      <c r="B4" s="303" t="s">
        <v>851</v>
      </c>
    </row>
    <row r="5" spans="1:2">
      <c r="A5" s="66">
        <v>1438444</v>
      </c>
      <c r="B5" s="303" t="s">
        <v>852</v>
      </c>
    </row>
    <row r="6" spans="1:2">
      <c r="A6" s="66">
        <v>1842962</v>
      </c>
      <c r="B6" s="303" t="s">
        <v>853</v>
      </c>
    </row>
    <row r="7" spans="1:2">
      <c r="A7" s="66">
        <v>1411798</v>
      </c>
      <c r="B7" s="303" t="s">
        <v>854</v>
      </c>
    </row>
    <row r="8" spans="1:2">
      <c r="A8" s="66">
        <v>1438443</v>
      </c>
      <c r="B8" s="303" t="s">
        <v>855</v>
      </c>
    </row>
    <row r="9" spans="1:2">
      <c r="A9" s="66">
        <v>1842963</v>
      </c>
      <c r="B9" s="303" t="s">
        <v>856</v>
      </c>
    </row>
    <row r="10" spans="1:2">
      <c r="A10" s="66">
        <v>1411797</v>
      </c>
      <c r="B10" s="303" t="s">
        <v>857</v>
      </c>
    </row>
    <row r="11" spans="1:2">
      <c r="A11" s="66">
        <v>1438442</v>
      </c>
      <c r="B11" s="303" t="s">
        <v>858</v>
      </c>
    </row>
    <row r="12" spans="1:2">
      <c r="A12" s="66">
        <v>1842964</v>
      </c>
      <c r="B12" s="303" t="s">
        <v>859</v>
      </c>
    </row>
    <row r="13" spans="1:2">
      <c r="A13" s="66">
        <v>1411796</v>
      </c>
      <c r="B13" s="303" t="s">
        <v>860</v>
      </c>
    </row>
    <row r="14" spans="1:2">
      <c r="A14" s="66">
        <v>1438441</v>
      </c>
      <c r="B14" s="303" t="s">
        <v>861</v>
      </c>
    </row>
    <row r="15" spans="1:2">
      <c r="A15" s="66">
        <v>1842965</v>
      </c>
      <c r="B15" s="303" t="s">
        <v>862</v>
      </c>
    </row>
    <row r="16" spans="1:2">
      <c r="A16" s="66">
        <v>1411795</v>
      </c>
      <c r="B16" s="303" t="s">
        <v>863</v>
      </c>
    </row>
    <row r="17" spans="1:2">
      <c r="A17" s="66">
        <v>1438439</v>
      </c>
      <c r="B17" s="303" t="s">
        <v>864</v>
      </c>
    </row>
    <row r="18" spans="1:2">
      <c r="A18" s="66">
        <v>1842966</v>
      </c>
      <c r="B18" s="303" t="s">
        <v>865</v>
      </c>
    </row>
    <row r="19" spans="1:2">
      <c r="A19" s="66">
        <v>1411793</v>
      </c>
      <c r="B19" s="303" t="s">
        <v>866</v>
      </c>
    </row>
    <row r="20" spans="1:2">
      <c r="A20" s="66">
        <v>1411790</v>
      </c>
      <c r="B20" s="303" t="s">
        <v>867</v>
      </c>
    </row>
    <row r="21" spans="1:2">
      <c r="A21" s="66">
        <v>1438438</v>
      </c>
      <c r="B21" s="303" t="s">
        <v>868</v>
      </c>
    </row>
    <row r="22" spans="1:2">
      <c r="A22" s="66">
        <v>1470865</v>
      </c>
      <c r="B22" s="303" t="s">
        <v>869</v>
      </c>
    </row>
    <row r="23" spans="1:2">
      <c r="A23" s="66">
        <v>1411802</v>
      </c>
      <c r="B23" s="303" t="s">
        <v>870</v>
      </c>
    </row>
    <row r="24" spans="1:2">
      <c r="A24" s="66">
        <v>1411800</v>
      </c>
      <c r="B24" s="303" t="s">
        <v>871</v>
      </c>
    </row>
    <row r="25" spans="1:2">
      <c r="A25" s="66">
        <v>1438440</v>
      </c>
      <c r="B25" s="303" t="s">
        <v>872</v>
      </c>
    </row>
    <row r="26" spans="1:2">
      <c r="A26" s="66">
        <v>1411794</v>
      </c>
      <c r="B26" s="303" t="s">
        <v>873</v>
      </c>
    </row>
    <row r="27" spans="1:2">
      <c r="A27" s="66">
        <v>1411789</v>
      </c>
      <c r="B27" s="303" t="s">
        <v>874</v>
      </c>
    </row>
    <row r="28" spans="1:2">
      <c r="A28" s="66">
        <v>1411788</v>
      </c>
      <c r="B28" s="303" t="s">
        <v>875</v>
      </c>
    </row>
    <row r="29" spans="1:2">
      <c r="A29" s="66">
        <v>1411786</v>
      </c>
      <c r="B29" s="303" t="s">
        <v>876</v>
      </c>
    </row>
    <row r="30" spans="1:2">
      <c r="A30" s="66">
        <v>1411785</v>
      </c>
      <c r="B30" s="303" t="s">
        <v>877</v>
      </c>
    </row>
    <row r="31" spans="1:2">
      <c r="A31" s="66">
        <v>1794859</v>
      </c>
      <c r="B31" s="303" t="s">
        <v>878</v>
      </c>
    </row>
    <row r="32" spans="1:2">
      <c r="A32" s="66">
        <v>1794860</v>
      </c>
      <c r="B32" s="303" t="s">
        <v>879</v>
      </c>
    </row>
    <row r="33" spans="1:2">
      <c r="A33" s="66">
        <v>1794861</v>
      </c>
      <c r="B33" s="303" t="s">
        <v>880</v>
      </c>
    </row>
    <row r="34" spans="1:2">
      <c r="A34" s="66">
        <v>1794862</v>
      </c>
      <c r="B34" s="303" t="s">
        <v>881</v>
      </c>
    </row>
    <row r="35" spans="1:2">
      <c r="A35" s="66">
        <v>3315765</v>
      </c>
      <c r="B35" s="303" t="s">
        <v>882</v>
      </c>
    </row>
    <row r="36" spans="1:2">
      <c r="A36" s="66">
        <v>1794863</v>
      </c>
      <c r="B36" s="303" t="s">
        <v>883</v>
      </c>
    </row>
    <row r="37" spans="1:2">
      <c r="A37" s="66">
        <v>1794864</v>
      </c>
      <c r="B37" s="303" t="s">
        <v>884</v>
      </c>
    </row>
    <row r="38" spans="1:2">
      <c r="A38" s="66">
        <v>1794856</v>
      </c>
      <c r="B38" s="303" t="s">
        <v>885</v>
      </c>
    </row>
    <row r="39" spans="1:2">
      <c r="A39" s="66">
        <v>3204817</v>
      </c>
      <c r="B39" s="303" t="s">
        <v>886</v>
      </c>
    </row>
    <row r="40" spans="1:2">
      <c r="A40" s="66">
        <v>3208186</v>
      </c>
      <c r="B40" s="303" t="s">
        <v>887</v>
      </c>
    </row>
    <row r="41" spans="1:2">
      <c r="A41" s="66">
        <v>3204815</v>
      </c>
      <c r="B41" s="303" t="s">
        <v>888</v>
      </c>
    </row>
    <row r="42" spans="1:2">
      <c r="A42" s="66">
        <v>3208185</v>
      </c>
      <c r="B42" s="303" t="s">
        <v>889</v>
      </c>
    </row>
    <row r="43" spans="1:2">
      <c r="A43" s="66">
        <v>3092006</v>
      </c>
      <c r="B43" s="303" t="s">
        <v>890</v>
      </c>
    </row>
    <row r="44" spans="1:2">
      <c r="A44" s="66">
        <v>3417751</v>
      </c>
      <c r="B44" s="303" t="s">
        <v>891</v>
      </c>
    </row>
    <row r="45" spans="1:2">
      <c r="A45" s="66">
        <v>3417752</v>
      </c>
      <c r="B45" s="303" t="s">
        <v>892</v>
      </c>
    </row>
    <row r="46" spans="1:2">
      <c r="A46" s="66">
        <v>3417753</v>
      </c>
      <c r="B46" s="303" t="s">
        <v>893</v>
      </c>
    </row>
    <row r="47" spans="1:2">
      <c r="A47" s="66">
        <v>3417754</v>
      </c>
      <c r="B47" s="303" t="s">
        <v>894</v>
      </c>
    </row>
    <row r="48" spans="1:2">
      <c r="A48" s="66">
        <v>3417757</v>
      </c>
      <c r="B48" s="303" t="s">
        <v>895</v>
      </c>
    </row>
    <row r="49" spans="1:2">
      <c r="A49" s="66">
        <v>1582877</v>
      </c>
      <c r="B49" s="303" t="s">
        <v>896</v>
      </c>
    </row>
    <row r="50" spans="1:2">
      <c r="A50" s="66">
        <v>1582825</v>
      </c>
      <c r="B50" s="303" t="s">
        <v>897</v>
      </c>
    </row>
    <row r="51" spans="1:2">
      <c r="A51" s="66">
        <v>3339299</v>
      </c>
      <c r="B51" s="303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INVITACIÓN-REMATE</vt:lpstr>
      <vt:lpstr>FRUVER</vt:lpstr>
      <vt:lpstr>CÁRNICOS</vt:lpstr>
      <vt:lpstr>HUEVOS</vt:lpstr>
      <vt:lpstr>ALIMENTOS CONGELADOS</vt:lpstr>
      <vt:lpstr>SAC</vt:lpstr>
      <vt:lpstr>Anexo hojaldres</vt:lpstr>
      <vt:lpstr>Anexo panadería artesanal</vt:lpstr>
      <vt:lpstr>Anexo Repostería de mercado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MILENA MEZA HERAZO</dc:creator>
  <cp:keywords/>
  <dc:description/>
  <cp:lastModifiedBy>Luisa Fernanda Rivas Pineda</cp:lastModifiedBy>
  <cp:revision/>
  <dcterms:created xsi:type="dcterms:W3CDTF">2022-12-21T19:00:01Z</dcterms:created>
  <dcterms:modified xsi:type="dcterms:W3CDTF">2026-06-16T20:49:47Z</dcterms:modified>
  <cp:category/>
  <cp:contentStatus/>
</cp:coreProperties>
</file>