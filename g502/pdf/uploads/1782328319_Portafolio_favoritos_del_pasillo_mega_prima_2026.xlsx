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mmontoyam\Downloads\"/>
    </mc:Choice>
  </mc:AlternateContent>
  <xr:revisionPtr revIDLastSave="0" documentId="13_ncr:1_{5E6DA846-268E-46F0-B73E-5190415A6F00}" xr6:coauthVersionLast="47" xr6:coauthVersionMax="47" xr10:uidLastSave="{00000000-0000-0000-0000-000000000000}"/>
  <bookViews>
    <workbookView xWindow="-110" yWindow="-110" windowWidth="19420" windowHeight="10420" xr2:uid="{CEAFEE4E-B412-41FF-8F43-B6E66EDFF022}"/>
  </bookViews>
  <sheets>
    <sheet name="Favoritos masivos" sheetId="1" r:id="rId1"/>
    <sheet name="Favoritos cliente alto" sheetId="4" r:id="rId2"/>
    <sheet name="90 cliente Alto" sheetId="3" r:id="rId3"/>
    <sheet name="Favoritos selec (2)" sheetId="2" state="hidden" r:id="rId4"/>
  </sheets>
  <definedNames>
    <definedName name="_xlnm._FilterDatabase" localSheetId="2" hidden="1">'90 cliente Alto'!#REF!</definedName>
    <definedName name="_xlnm._FilterDatabase" localSheetId="1" hidden="1">'Favoritos cliente alto'!$A$4:$M$12</definedName>
    <definedName name="_xlnm._FilterDatabase" localSheetId="0" hidden="1">'Favoritos masivos'!$A$3:$M$40</definedName>
    <definedName name="_xlnm._FilterDatabase" localSheetId="3" hidden="1">'Favoritos selec (2)'!$A$3:$L$39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4" i="2" l="1"/>
  <c r="F44" i="2"/>
  <c r="G2" i="2"/>
  <c r="F2" i="2"/>
</calcChain>
</file>

<file path=xl/sharedStrings.xml><?xml version="1.0" encoding="utf-8"?>
<sst xmlns="http://schemas.openxmlformats.org/spreadsheetml/2006/main" count="711" uniqueCount="289">
  <si>
    <t>Negocio</t>
  </si>
  <si>
    <t>Plu</t>
  </si>
  <si>
    <t>Plu Desc</t>
  </si>
  <si>
    <t>Present</t>
  </si>
  <si>
    <t>Marca</t>
  </si>
  <si>
    <t>Sub</t>
  </si>
  <si>
    <t>Sub Desc</t>
  </si>
  <si>
    <t>Desc Cat</t>
  </si>
  <si>
    <t>TIPO DE PLU</t>
  </si>
  <si>
    <t>Unidades confirmadas</t>
  </si>
  <si>
    <t>Py venta</t>
  </si>
  <si>
    <t>% Fleje</t>
  </si>
  <si>
    <t>% POS</t>
  </si>
  <si>
    <t>DCTO FINAL A MATRICULAR</t>
  </si>
  <si>
    <t>Precio oferta</t>
  </si>
  <si>
    <t>Aseos</t>
  </si>
  <si>
    <t>Papel higiénico cuidado completo x 18 rollos</t>
  </si>
  <si>
    <t>540M</t>
  </si>
  <si>
    <t>SCOTT</t>
  </si>
  <si>
    <t>PAPELES Y ABSORBENTES</t>
  </si>
  <si>
    <t>PAPEL HIGIENICO</t>
  </si>
  <si>
    <t>X</t>
  </si>
  <si>
    <t>Crema corporal reparación intensiva</t>
  </si>
  <si>
    <t>946G</t>
  </si>
  <si>
    <t>LUBRIDERM</t>
  </si>
  <si>
    <t>CUIDADO CORPORAL</t>
  </si>
  <si>
    <t>CREMAS DE MANOS Y CORPORAL</t>
  </si>
  <si>
    <t>Detergente líquido doble poder concentrado</t>
  </si>
  <si>
    <t>3.7L</t>
  </si>
  <si>
    <t>ARIEL</t>
  </si>
  <si>
    <t>CUIDADO ROPA</t>
  </si>
  <si>
    <t>DETERGENTES</t>
  </si>
  <si>
    <t>Suavizante cuidado superior fresca primavera x 2 unids</t>
  </si>
  <si>
    <t>5600ML</t>
  </si>
  <si>
    <t>SUAVITEL</t>
  </si>
  <si>
    <t>SUAVIZANTES DE ROPA</t>
  </si>
  <si>
    <t xml:space="preserve">Detergente en polvo triple poder </t>
  </si>
  <si>
    <t>5000G</t>
  </si>
  <si>
    <t>Alimentos</t>
  </si>
  <si>
    <t>Aceite de girasol multiusos</t>
  </si>
  <si>
    <t>1800ML</t>
  </si>
  <si>
    <t>PREMIER</t>
  </si>
  <si>
    <t>ACEITES COMESTIBLES</t>
  </si>
  <si>
    <t>Shampoo y acondicionador reconstrucción completa</t>
  </si>
  <si>
    <t>370ML</t>
  </si>
  <si>
    <t>DOVE</t>
  </si>
  <si>
    <t>CUIDADO CAPILAR Y ACCESORIOS</t>
  </si>
  <si>
    <t>SHAMPOO</t>
  </si>
  <si>
    <t>Desodorante hombre gel specialized  x  2unids</t>
  </si>
  <si>
    <t>226G</t>
  </si>
  <si>
    <t>GILLETTE</t>
  </si>
  <si>
    <t>DESODORANTES HOMBRE</t>
  </si>
  <si>
    <t xml:space="preserve">Detergente en polvo doble poder multiusos </t>
  </si>
  <si>
    <t>6000G</t>
  </si>
  <si>
    <t>DERSA</t>
  </si>
  <si>
    <t>Detergente líquido protección color limpieza profunda</t>
  </si>
  <si>
    <t>3800ML</t>
  </si>
  <si>
    <t>BLANCOX</t>
  </si>
  <si>
    <t>2x1</t>
  </si>
  <si>
    <t>Crema Dental Triple Acción x3und 125ml</t>
  </si>
  <si>
    <t>375ML</t>
  </si>
  <si>
    <t>COLGATE</t>
  </si>
  <si>
    <t>CUIDADO ORAL Y AFEITADA</t>
  </si>
  <si>
    <t>CREMAS DENTALES</t>
  </si>
  <si>
    <t>Soda botella vidrio x12unds</t>
  </si>
  <si>
    <t>3600ML</t>
  </si>
  <si>
    <t>BRETANA</t>
  </si>
  <si>
    <t>BEBIDAS LIQUIDAS NO ALCOHOLICA</t>
  </si>
  <si>
    <t>GASEOSAS</t>
  </si>
  <si>
    <t>Jabon Antibacterial Avena Barra</t>
  </si>
  <si>
    <t>660G</t>
  </si>
  <si>
    <t>PROTEX</t>
  </si>
  <si>
    <t>JABONES DE TOCADOR</t>
  </si>
  <si>
    <t>Lavalozas en Crema Limon</t>
  </si>
  <si>
    <t>900G</t>
  </si>
  <si>
    <t>AXION</t>
  </si>
  <si>
    <t>LIMPIADORES E IMPLEMENTOS ASEO</t>
  </si>
  <si>
    <t>LAVALOZA</t>
  </si>
  <si>
    <t>Arroz blanco vitamor</t>
  </si>
  <si>
    <t>DIANA</t>
  </si>
  <si>
    <t>GRANOS</t>
  </si>
  <si>
    <t>ARROZ</t>
  </si>
  <si>
    <t>Frescos ind</t>
  </si>
  <si>
    <t>Queso Mozarella X 30 Tajadas</t>
  </si>
  <si>
    <t>500G</t>
  </si>
  <si>
    <t>COLANTA</t>
  </si>
  <si>
    <t>DERIVADOS LACTEOS</t>
  </si>
  <si>
    <t>QUESOS AUTOSERVICIO</t>
  </si>
  <si>
    <t xml:space="preserve">Queso Crema </t>
  </si>
  <si>
    <t>400G</t>
  </si>
  <si>
    <t>Gaseosa Coca Cola zero</t>
  </si>
  <si>
    <t>1500ML</t>
  </si>
  <si>
    <t>ZERO</t>
  </si>
  <si>
    <t>Limpia Pisos Antibacterial Lavanda</t>
  </si>
  <si>
    <t>5000ML</t>
  </si>
  <si>
    <t>FABULOSO</t>
  </si>
  <si>
    <t>LIMPIAPISOS</t>
  </si>
  <si>
    <t>Gaseosa Sabor Original</t>
  </si>
  <si>
    <t>COCA COLA</t>
  </si>
  <si>
    <t>Jabón de barra líquido original</t>
  </si>
  <si>
    <t>2L</t>
  </si>
  <si>
    <t>REY</t>
  </si>
  <si>
    <t>JABONES DE LAVAR</t>
  </si>
  <si>
    <t>Azucar Alta Pureza</t>
  </si>
  <si>
    <t>2000G</t>
  </si>
  <si>
    <t>MANUELITA</t>
  </si>
  <si>
    <t>AZUCAR</t>
  </si>
  <si>
    <t>Shampoo 2 en 1 Suave</t>
  </si>
  <si>
    <t>1000ML</t>
  </si>
  <si>
    <t>H&amp;S</t>
  </si>
  <si>
    <t>Shampoo Limpieza Renovadora</t>
  </si>
  <si>
    <t>Tratamiento capilar Oleo Extraordinario</t>
  </si>
  <si>
    <t>100ML</t>
  </si>
  <si>
    <t>ELVIVE</t>
  </si>
  <si>
    <t>TRATAMIENTO CAPILAR</t>
  </si>
  <si>
    <t>Bebida láctea  surtido bolsa x8und 150ml</t>
  </si>
  <si>
    <t>1200G</t>
  </si>
  <si>
    <t>YOGO YOGO</t>
  </si>
  <si>
    <t>BEBIDAS LACTEAS</t>
  </si>
  <si>
    <t xml:space="preserve">Sixpack Leche Uht Entera </t>
  </si>
  <si>
    <t>6000ML</t>
  </si>
  <si>
    <t>LECHES LIQUIDAS</t>
  </si>
  <si>
    <t>Desodorante mujer gel fresh defense</t>
  </si>
  <si>
    <t>73G</t>
  </si>
  <si>
    <t>SECRET</t>
  </si>
  <si>
    <t>DESODORANTES MUJER</t>
  </si>
  <si>
    <t>Lomos Atún Agua</t>
  </si>
  <si>
    <t>160G</t>
  </si>
  <si>
    <t>BARY</t>
  </si>
  <si>
    <t>ENLATADOS</t>
  </si>
  <si>
    <t>ATUNES</t>
  </si>
  <si>
    <t>Lomos Atun Aceite Girasol</t>
  </si>
  <si>
    <t>Pastas spaghetti</t>
  </si>
  <si>
    <t>1000G</t>
  </si>
  <si>
    <t>LA MUNECA</t>
  </si>
  <si>
    <t>GALLETAS Y HARINAS</t>
  </si>
  <si>
    <t>PASTAS</t>
  </si>
  <si>
    <t>Galletas Taco</t>
  </si>
  <si>
    <t>560G</t>
  </si>
  <si>
    <t>SALTIN NOEL</t>
  </si>
  <si>
    <t>GALLETAS SALADAS</t>
  </si>
  <si>
    <t>Oferta</t>
  </si>
  <si>
    <t>Hojuelas Maiz Tostadas Natural</t>
  </si>
  <si>
    <t>410G</t>
  </si>
  <si>
    <t>KELLOGGS</t>
  </si>
  <si>
    <t>CEREALES LISTOS</t>
  </si>
  <si>
    <t>Maíz tierno Lata x2 unds</t>
  </si>
  <si>
    <t>380G</t>
  </si>
  <si>
    <t>SAN JORGE</t>
  </si>
  <si>
    <t>VEGETALES EN CONSERVA</t>
  </si>
  <si>
    <t>Cafe  Clasico en polvo</t>
  </si>
  <si>
    <t>250G</t>
  </si>
  <si>
    <t>COLCAFE</t>
  </si>
  <si>
    <t>BEBIDAS CALIENT/Y ALMT.NATURIS</t>
  </si>
  <si>
    <t>CAFE</t>
  </si>
  <si>
    <t>Cafe Molido</t>
  </si>
  <si>
    <t>AGUILA ROJA</t>
  </si>
  <si>
    <t>Cruza con masivo</t>
  </si>
  <si>
    <t>NO</t>
  </si>
  <si>
    <t>Papel Higienico triple hoja x 12 rollos</t>
  </si>
  <si>
    <t>384M</t>
  </si>
  <si>
    <t>SUAVE</t>
  </si>
  <si>
    <t>Cafe Tostado Molido</t>
  </si>
  <si>
    <t>454G</t>
  </si>
  <si>
    <t>JUAN VALDEZ</t>
  </si>
  <si>
    <t>Arroz blanco Premium</t>
  </si>
  <si>
    <t>2500G</t>
  </si>
  <si>
    <t>CASTELLANO</t>
  </si>
  <si>
    <t xml:space="preserve">Whisky Founders </t>
  </si>
  <si>
    <t>700ML</t>
  </si>
  <si>
    <t>GLENLIVET</t>
  </si>
  <si>
    <t>LICORES Y CIGARRILLOS</t>
  </si>
  <si>
    <t>WHISKYS</t>
  </si>
  <si>
    <t>Queso Fresco x 15 Tajadas</t>
  </si>
  <si>
    <t>239G</t>
  </si>
  <si>
    <t>FINESSE</t>
  </si>
  <si>
    <t>Crema Dental 3D White brilliant fresh</t>
  </si>
  <si>
    <t>321ML</t>
  </si>
  <si>
    <t>ORAL-B</t>
  </si>
  <si>
    <t> </t>
  </si>
  <si>
    <t>Aceite Canola</t>
  </si>
  <si>
    <t>1000CM3</t>
  </si>
  <si>
    <t>CANOLA LIFE</t>
  </si>
  <si>
    <t>PASTA CORTA PENNE RIGATE</t>
  </si>
  <si>
    <t>CONZAZONI</t>
  </si>
  <si>
    <t>Licores</t>
  </si>
  <si>
    <t>Chivas 12 1000</t>
  </si>
  <si>
    <t>CHIVAS REGAL</t>
  </si>
  <si>
    <t>APLIA CLIENTE ALTO</t>
  </si>
  <si>
    <t xml:space="preserve">ZONA </t>
  </si>
  <si>
    <t>EXITO DEL ESTE</t>
  </si>
  <si>
    <t>ZONA 1</t>
  </si>
  <si>
    <t>EXITO POBLADO</t>
  </si>
  <si>
    <t>EXITO ENVIGADO</t>
  </si>
  <si>
    <t>EXITO LAURELES</t>
  </si>
  <si>
    <t>EXITO BARRANQUILLA</t>
  </si>
  <si>
    <t>ZONA 2</t>
  </si>
  <si>
    <t>EXITO RIONEGRO</t>
  </si>
  <si>
    <t>EXITO PARQUE ARBOLEDA</t>
  </si>
  <si>
    <t>EXITO VIVA TUNJA</t>
  </si>
  <si>
    <t>EXITO COUNTRY</t>
  </si>
  <si>
    <t>EXITO LA COLINA</t>
  </si>
  <si>
    <t>EXITO CHAPINERO</t>
  </si>
  <si>
    <t>EXITO IBAGUE</t>
  </si>
  <si>
    <t>EXITO MONTERIA NORTE</t>
  </si>
  <si>
    <t>CARULLA VILLA COUNTRY</t>
  </si>
  <si>
    <t>CARULLA SAN RAFAEL (CAF)</t>
  </si>
  <si>
    <t>CARULLA PASADENA (CAF)</t>
  </si>
  <si>
    <t>EXITO UNICENTRO BOGOTA</t>
  </si>
  <si>
    <t>EXITO PLAZA SALITRE</t>
  </si>
  <si>
    <t>CARULLA MANIZALES</t>
  </si>
  <si>
    <t>CARULLA OVIEDO</t>
  </si>
  <si>
    <t>CARULLA PALMAS</t>
  </si>
  <si>
    <t>CARULLA PINAR DEL RIO</t>
  </si>
  <si>
    <t>CARULLA SAO PAULO</t>
  </si>
  <si>
    <t>EXITO GRAN ESTACION (CV)BOGOTA</t>
  </si>
  <si>
    <t>EXITO ALAMEDAS DEL SINU MONTER</t>
  </si>
  <si>
    <t>EXITO BUENA VISTA (CV) BLLA</t>
  </si>
  <si>
    <t>EXITO BUENA VISTA SANTA MARTA</t>
  </si>
  <si>
    <t>EXITO CHIPICHAPE</t>
  </si>
  <si>
    <t>CARULLA CALLE 127 (CAF)</t>
  </si>
  <si>
    <t>CARULLA EL RETIRO (CAF)</t>
  </si>
  <si>
    <t>EXITO UNICENTRO MEDELLIN</t>
  </si>
  <si>
    <t>EXITO FONTANAR CHIA</t>
  </si>
  <si>
    <t>CARULLA CENTRO CHIA</t>
  </si>
  <si>
    <t>CARULLA ROSALES</t>
  </si>
  <si>
    <t>CARULLA SOLEDAD</t>
  </si>
  <si>
    <t>CARULLA CALLE 86 B/QUILLA</t>
  </si>
  <si>
    <t>CARULLA CALLE 63</t>
  </si>
  <si>
    <t>CARULLA VILLA SUSANA</t>
  </si>
  <si>
    <t>CARULLA LLANO GRANDE</t>
  </si>
  <si>
    <t>CARULLA ALHAMBRA</t>
  </si>
  <si>
    <t>CARULLA CALLE 140</t>
  </si>
  <si>
    <t>CARULLA CALLE 147</t>
  </si>
  <si>
    <t>CARULLA CEDRO BOLIVAR</t>
  </si>
  <si>
    <t>CARULLA VISITACION</t>
  </si>
  <si>
    <t>EXITO NIZA</t>
  </si>
  <si>
    <t>CARULLA COLINA</t>
  </si>
  <si>
    <t>CARULLA COUNTRY</t>
  </si>
  <si>
    <t>CARULLA GALERIAS</t>
  </si>
  <si>
    <t>CARULLA NIZA</t>
  </si>
  <si>
    <t>CARULLA PABLO VI</t>
  </si>
  <si>
    <t>CARULLA PASEO REAL</t>
  </si>
  <si>
    <t>CARULLA PEPE SIERRA</t>
  </si>
  <si>
    <t>CARULLA QUINTA CAMACHO</t>
  </si>
  <si>
    <t>CARULLA RINCON DE LA COLINA</t>
  </si>
  <si>
    <t>CARULLA SANTA BARBARA</t>
  </si>
  <si>
    <t>CARULLA PANCE CALI</t>
  </si>
  <si>
    <t>CARULLA SAN FERNANDO</t>
  </si>
  <si>
    <t>CARULLA CALLE 82</t>
  </si>
  <si>
    <t>CARULLA ARRECIFE</t>
  </si>
  <si>
    <t>CARULLA CITY PLAZA</t>
  </si>
  <si>
    <t>CARULLA CASTILLO GRANDE</t>
  </si>
  <si>
    <t>CARULLA RAMBLAS</t>
  </si>
  <si>
    <t>CARULLA ZAZUE</t>
  </si>
  <si>
    <t>CARULLA NOGAL</t>
  </si>
  <si>
    <t>CARULLA CALLE 110</t>
  </si>
  <si>
    <t>CARULLA BELLA SUIZA</t>
  </si>
  <si>
    <t>CARULLA CALLE 102</t>
  </si>
  <si>
    <t>CARULLA POBLADO</t>
  </si>
  <si>
    <t>CARULLA TESORO</t>
  </si>
  <si>
    <t>CARULLA RINCON DE OVIEDO</t>
  </si>
  <si>
    <t>CARULLA SAN LUCAS</t>
  </si>
  <si>
    <t>CARULLA LAURELES</t>
  </si>
  <si>
    <t>CARULLA CIUDAD JARDIN</t>
  </si>
  <si>
    <t>CARULLA LA CALERA</t>
  </si>
  <si>
    <t>CARULLA AVENIDA COLOMBIA</t>
  </si>
  <si>
    <t>SUPER INTER DEL NORTE</t>
  </si>
  <si>
    <t>SUPER INTER ARMENIA PLAZA</t>
  </si>
  <si>
    <t>SUPER INTER ALTA SUIZA</t>
  </si>
  <si>
    <t>CARULLA CIUDAD DEL MAR</t>
  </si>
  <si>
    <t>CARULLA VIVA PALMAS</t>
  </si>
  <si>
    <t>CARULLA BELLAVISTA</t>
  </si>
  <si>
    <t>CARULLA SAN MARCEL</t>
  </si>
  <si>
    <t>CARULLA ISLA NATURA</t>
  </si>
  <si>
    <t>CARULLA PRIMAVERA URBANA</t>
  </si>
  <si>
    <t>CARULLA PEREIRA CERRITOS</t>
  </si>
  <si>
    <t>CARULLA PEREIRA PINARES</t>
  </si>
  <si>
    <t>CARULLA SMARTMARKET</t>
  </si>
  <si>
    <t>CARULLA MALL PLAZA BUENAVISTA</t>
  </si>
  <si>
    <t>CARULLA PLAZA CARO</t>
  </si>
  <si>
    <t>CARULLA PRADERA DE POTOSI</t>
  </si>
  <si>
    <t>Whisky 12 años</t>
  </si>
  <si>
    <t>Unid disponiibles</t>
  </si>
  <si>
    <t>MASIVO TODOS</t>
  </si>
  <si>
    <t>DEP</t>
  </si>
  <si>
    <t>ALMACENES CLIENTE ALTO</t>
  </si>
  <si>
    <t xml:space="preserve">DCTO </t>
  </si>
  <si>
    <t>APLICA CLIENTE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</si>
</sst>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&quot;$&quot;\ #,##0.000;[Red]\-&quot;$&quot;\ #,##0.0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6" fontId="4" fillId="0" borderId="0" xfId="1" applyNumberFormat="1" applyFont="1"/>
    <xf numFmtId="9" fontId="4" fillId="0" borderId="0" xfId="2" applyFont="1" applyAlignment="1">
      <alignment horizontal="center"/>
    </xf>
    <xf numFmtId="3" fontId="1" fillId="3" borderId="1" xfId="1" applyNumberFormat="1" applyFont="1" applyFill="1" applyBorder="1" applyAlignment="1" applyProtection="1">
      <alignment horizontal="center"/>
    </xf>
    <xf numFmtId="166" fontId="1" fillId="3" borderId="1" xfId="1" applyNumberFormat="1" applyFont="1" applyFill="1" applyBorder="1" applyAlignment="1" applyProtection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5" fillId="4" borderId="1" xfId="1" applyNumberFormat="1" applyFont="1" applyFill="1" applyBorder="1" applyAlignment="1">
      <alignment horizontal="center" vertical="center" wrapText="1"/>
    </xf>
    <xf numFmtId="9" fontId="5" fillId="4" borderId="1" xfId="2" applyFont="1" applyFill="1" applyBorder="1" applyAlignment="1">
      <alignment horizontal="center" vertical="center" wrapText="1"/>
    </xf>
    <xf numFmtId="9" fontId="5" fillId="6" borderId="1" xfId="2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8" borderId="1" xfId="0" applyFont="1" applyFill="1" applyBorder="1"/>
    <xf numFmtId="3" fontId="4" fillId="0" borderId="1" xfId="0" applyNumberFormat="1" applyFont="1" applyBorder="1"/>
    <xf numFmtId="166" fontId="4" fillId="0" borderId="1" xfId="1" applyNumberFormat="1" applyFont="1" applyBorder="1"/>
    <xf numFmtId="9" fontId="4" fillId="0" borderId="1" xfId="2" applyFont="1" applyBorder="1" applyAlignment="1">
      <alignment horizontal="center"/>
    </xf>
    <xf numFmtId="164" fontId="4" fillId="8" borderId="1" xfId="0" applyNumberFormat="1" applyFont="1" applyFill="1" applyBorder="1"/>
    <xf numFmtId="9" fontId="4" fillId="8" borderId="1" xfId="2" applyFont="1" applyFill="1" applyBorder="1" applyAlignment="1">
      <alignment horizontal="center"/>
    </xf>
    <xf numFmtId="166" fontId="4" fillId="8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166" fontId="0" fillId="8" borderId="1" xfId="1" applyNumberFormat="1" applyFont="1" applyFill="1" applyBorder="1" applyAlignment="1">
      <alignment horizontal="center" vertical="center"/>
    </xf>
    <xf numFmtId="0" fontId="7" fillId="0" borderId="1" xfId="0" applyFont="1" applyBorder="1"/>
    <xf numFmtId="3" fontId="4" fillId="0" borderId="0" xfId="0" applyNumberFormat="1" applyFont="1"/>
    <xf numFmtId="166" fontId="4" fillId="0" borderId="0" xfId="1" applyNumberFormat="1" applyFont="1" applyBorder="1"/>
    <xf numFmtId="9" fontId="4" fillId="0" borderId="0" xfId="2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6" fontId="0" fillId="0" borderId="1" xfId="1" applyNumberFormat="1" applyFont="1" applyBorder="1" applyAlignment="1" applyProtection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166" fontId="0" fillId="9" borderId="1" xfId="1" applyNumberFormat="1" applyFont="1" applyFill="1" applyBorder="1" applyAlignment="1" applyProtection="1">
      <alignment horizontal="center"/>
    </xf>
    <xf numFmtId="9" fontId="8" fillId="10" borderId="1" xfId="0" applyNumberFormat="1" applyFont="1" applyFill="1" applyBorder="1" applyAlignment="1">
      <alignment horizontal="center"/>
    </xf>
    <xf numFmtId="167" fontId="4" fillId="8" borderId="1" xfId="0" applyNumberFormat="1" applyFont="1" applyFill="1" applyBorder="1"/>
    <xf numFmtId="0" fontId="7" fillId="8" borderId="1" xfId="0" applyFont="1" applyFill="1" applyBorder="1"/>
    <xf numFmtId="9" fontId="8" fillId="0" borderId="1" xfId="2" applyFont="1" applyBorder="1" applyAlignment="1">
      <alignment horizontal="center"/>
    </xf>
    <xf numFmtId="3" fontId="1" fillId="3" borderId="0" xfId="1" applyNumberFormat="1" applyFont="1" applyFill="1" applyBorder="1" applyAlignment="1" applyProtection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9" fontId="4" fillId="0" borderId="1" xfId="2" applyFont="1" applyFill="1" applyBorder="1" applyAlignment="1">
      <alignment horizontal="center"/>
    </xf>
    <xf numFmtId="164" fontId="4" fillId="0" borderId="1" xfId="0" applyNumberFormat="1" applyFont="1" applyBorder="1"/>
    <xf numFmtId="166" fontId="4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 applyProtection="1">
      <alignment horizontal="center"/>
    </xf>
    <xf numFmtId="9" fontId="8" fillId="0" borderId="1" xfId="0" applyNumberFormat="1" applyFont="1" applyBorder="1" applyAlignment="1">
      <alignment horizontal="center"/>
    </xf>
    <xf numFmtId="167" fontId="4" fillId="0" borderId="1" xfId="0" applyNumberFormat="1" applyFont="1" applyBorder="1"/>
    <xf numFmtId="9" fontId="8" fillId="0" borderId="1" xfId="2" applyFont="1" applyFill="1" applyBorder="1" applyAlignment="1">
      <alignment horizontal="center"/>
    </xf>
    <xf numFmtId="0" fontId="9" fillId="11" borderId="0" xfId="0" applyFont="1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ED7F-437E-4C42-913E-1EB34BAB189B}">
  <sheetPr>
    <tabColor rgb="FF00B0F0"/>
  </sheetPr>
  <dimension ref="A1:M40"/>
  <sheetViews>
    <sheetView showGridLines="0" tabSelected="1" zoomScale="70" zoomScaleNormal="70" workbookViewId="0">
      <pane xSplit="3" topLeftCell="D1" activePane="topRight" state="frozen"/>
      <selection pane="topRight" activeCell="E11" sqref="E11"/>
    </sheetView>
  </sheetViews>
  <sheetFormatPr baseColWidth="10" defaultColWidth="11.453125" defaultRowHeight="14.5" x14ac:dyDescent="0.35"/>
  <cols>
    <col min="1" max="1" width="8.6328125" style="1" customWidth="1"/>
    <col min="2" max="2" width="11.54296875" style="1" bestFit="1" customWidth="1"/>
    <col min="3" max="3" width="50.54296875" style="1" bestFit="1" customWidth="1"/>
    <col min="4" max="4" width="11.453125" style="1"/>
    <col min="5" max="5" width="12.90625" style="1" customWidth="1"/>
    <col min="6" max="6" width="12.6328125" style="1" bestFit="1" customWidth="1"/>
    <col min="7" max="7" width="18.1796875" style="1" bestFit="1" customWidth="1"/>
    <col min="8" max="8" width="25.1796875" style="1" customWidth="1"/>
    <col min="9" max="9" width="11.54296875" style="3" bestFit="1" customWidth="1"/>
    <col min="10" max="10" width="14.08984375" style="1" customWidth="1"/>
    <col min="11" max="11" width="11.54296875" style="5" bestFit="1" customWidth="1"/>
    <col min="12" max="12" width="10" style="5" bestFit="1" customWidth="1"/>
    <col min="13" max="16384" width="11.453125" style="1"/>
  </cols>
  <sheetData>
    <row r="1" spans="1:13" ht="18.5" x14ac:dyDescent="0.45">
      <c r="A1" s="51" t="s">
        <v>284</v>
      </c>
      <c r="B1" s="51"/>
      <c r="C1" s="51"/>
      <c r="G1" s="2"/>
    </row>
    <row r="2" spans="1:13" ht="16" x14ac:dyDescent="0.4">
      <c r="J2" s="38"/>
    </row>
    <row r="3" spans="1:13" s="14" customFormat="1" ht="41.4" customHeight="1" x14ac:dyDescent="0.3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39" t="s">
        <v>283</v>
      </c>
      <c r="K3" s="11" t="s">
        <v>11</v>
      </c>
      <c r="L3" s="12" t="s">
        <v>287</v>
      </c>
      <c r="M3" s="13" t="s">
        <v>14</v>
      </c>
    </row>
    <row r="4" spans="1:13" ht="20" customHeight="1" x14ac:dyDescent="0.35">
      <c r="A4" s="15" t="s">
        <v>15</v>
      </c>
      <c r="B4" s="15">
        <v>3727036</v>
      </c>
      <c r="C4" s="15" t="s">
        <v>16</v>
      </c>
      <c r="D4" s="15" t="s">
        <v>17</v>
      </c>
      <c r="E4" s="15" t="s">
        <v>18</v>
      </c>
      <c r="F4" s="15">
        <v>67</v>
      </c>
      <c r="G4" s="15" t="s">
        <v>19</v>
      </c>
      <c r="H4" s="15" t="s">
        <v>20</v>
      </c>
      <c r="I4" s="40">
        <v>1</v>
      </c>
      <c r="J4" s="29">
        <v>35000</v>
      </c>
      <c r="K4" s="41" t="s">
        <v>21</v>
      </c>
      <c r="L4" s="41"/>
      <c r="M4" s="42">
        <v>24750</v>
      </c>
    </row>
    <row r="5" spans="1:13" ht="20" customHeight="1" x14ac:dyDescent="0.35">
      <c r="A5" s="15" t="s">
        <v>15</v>
      </c>
      <c r="B5" s="15">
        <v>1186952</v>
      </c>
      <c r="C5" s="15" t="s">
        <v>22</v>
      </c>
      <c r="D5" s="15" t="s">
        <v>23</v>
      </c>
      <c r="E5" s="15" t="s">
        <v>24</v>
      </c>
      <c r="F5" s="15">
        <v>406</v>
      </c>
      <c r="G5" s="15" t="s">
        <v>25</v>
      </c>
      <c r="H5" s="15" t="s">
        <v>26</v>
      </c>
      <c r="I5" s="40">
        <v>1</v>
      </c>
      <c r="J5" s="29">
        <v>21000</v>
      </c>
      <c r="K5" s="41"/>
      <c r="L5" s="41">
        <v>0.25</v>
      </c>
      <c r="M5" s="15"/>
    </row>
    <row r="6" spans="1:13" ht="20" customHeight="1" x14ac:dyDescent="0.35">
      <c r="A6" s="15" t="s">
        <v>15</v>
      </c>
      <c r="B6" s="15">
        <v>3001782</v>
      </c>
      <c r="C6" s="15" t="s">
        <v>27</v>
      </c>
      <c r="D6" s="15" t="s">
        <v>28</v>
      </c>
      <c r="E6" s="15" t="s">
        <v>29</v>
      </c>
      <c r="F6" s="15">
        <v>97</v>
      </c>
      <c r="G6" s="15" t="s">
        <v>30</v>
      </c>
      <c r="H6" s="15" t="s">
        <v>31</v>
      </c>
      <c r="I6" s="40">
        <v>1</v>
      </c>
      <c r="J6" s="29">
        <v>25200</v>
      </c>
      <c r="K6" s="41"/>
      <c r="L6" s="41">
        <v>0.5</v>
      </c>
      <c r="M6" s="15"/>
    </row>
    <row r="7" spans="1:13" ht="20" customHeight="1" x14ac:dyDescent="0.35">
      <c r="A7" s="15" t="s">
        <v>15</v>
      </c>
      <c r="B7" s="15">
        <v>3287702</v>
      </c>
      <c r="C7" s="15" t="s">
        <v>32</v>
      </c>
      <c r="D7" s="15" t="s">
        <v>33</v>
      </c>
      <c r="E7" s="15" t="s">
        <v>34</v>
      </c>
      <c r="F7" s="15">
        <v>97</v>
      </c>
      <c r="G7" s="15" t="s">
        <v>30</v>
      </c>
      <c r="H7" s="15" t="s">
        <v>35</v>
      </c>
      <c r="I7" s="40">
        <v>1</v>
      </c>
      <c r="J7" s="29">
        <v>37100</v>
      </c>
      <c r="K7" s="41"/>
      <c r="L7" s="41">
        <v>0.25</v>
      </c>
      <c r="M7" s="15"/>
    </row>
    <row r="8" spans="1:13" ht="20" customHeight="1" x14ac:dyDescent="0.35">
      <c r="A8" s="15" t="s">
        <v>15</v>
      </c>
      <c r="B8" s="15">
        <v>1413539</v>
      </c>
      <c r="C8" s="15" t="s">
        <v>36</v>
      </c>
      <c r="D8" s="15" t="s">
        <v>37</v>
      </c>
      <c r="E8" s="15" t="s">
        <v>29</v>
      </c>
      <c r="F8" s="15">
        <v>97</v>
      </c>
      <c r="G8" s="15" t="s">
        <v>30</v>
      </c>
      <c r="H8" s="15" t="s">
        <v>31</v>
      </c>
      <c r="I8" s="40">
        <v>1</v>
      </c>
      <c r="J8" s="29">
        <v>29399.999999999996</v>
      </c>
      <c r="K8" s="41"/>
      <c r="M8" s="44">
        <v>39950</v>
      </c>
    </row>
    <row r="9" spans="1:13" ht="20" customHeight="1" x14ac:dyDescent="0.35">
      <c r="A9" s="15" t="s">
        <v>38</v>
      </c>
      <c r="B9" s="15">
        <v>3452377</v>
      </c>
      <c r="C9" s="15" t="s">
        <v>39</v>
      </c>
      <c r="D9" s="15" t="s">
        <v>40</v>
      </c>
      <c r="E9" s="15" t="s">
        <v>41</v>
      </c>
      <c r="F9" s="15">
        <v>403</v>
      </c>
      <c r="G9" s="15" t="s">
        <v>42</v>
      </c>
      <c r="H9" s="15" t="s">
        <v>42</v>
      </c>
      <c r="I9" s="40">
        <v>1</v>
      </c>
      <c r="J9" s="29">
        <v>35000</v>
      </c>
      <c r="K9" s="41"/>
      <c r="L9" s="41">
        <v>0.25</v>
      </c>
      <c r="M9" s="15"/>
    </row>
    <row r="10" spans="1:13" ht="20" customHeight="1" x14ac:dyDescent="0.35">
      <c r="A10" s="15" t="s">
        <v>15</v>
      </c>
      <c r="B10" s="15">
        <v>3831166</v>
      </c>
      <c r="C10" s="15" t="s">
        <v>43</v>
      </c>
      <c r="D10" s="15" t="s">
        <v>44</v>
      </c>
      <c r="E10" s="15" t="s">
        <v>45</v>
      </c>
      <c r="F10" s="15">
        <v>96</v>
      </c>
      <c r="G10" s="15" t="s">
        <v>46</v>
      </c>
      <c r="H10" s="15" t="s">
        <v>47</v>
      </c>
      <c r="I10" s="40">
        <v>1</v>
      </c>
      <c r="J10" s="29">
        <v>31499.999999999996</v>
      </c>
      <c r="K10" s="41" t="s">
        <v>21</v>
      </c>
      <c r="L10" s="43"/>
      <c r="M10" s="44">
        <v>29900</v>
      </c>
    </row>
    <row r="11" spans="1:13" ht="20" customHeight="1" x14ac:dyDescent="0.35">
      <c r="A11" s="15" t="s">
        <v>15</v>
      </c>
      <c r="B11" s="15">
        <v>1202364</v>
      </c>
      <c r="C11" s="15" t="s">
        <v>48</v>
      </c>
      <c r="D11" s="15" t="s">
        <v>49</v>
      </c>
      <c r="E11" s="15" t="s">
        <v>50</v>
      </c>
      <c r="F11" s="15">
        <v>406</v>
      </c>
      <c r="G11" s="15" t="s">
        <v>25</v>
      </c>
      <c r="H11" s="15" t="s">
        <v>51</v>
      </c>
      <c r="I11" s="40">
        <v>1</v>
      </c>
      <c r="J11" s="29">
        <v>24500</v>
      </c>
      <c r="K11" s="41" t="s">
        <v>21</v>
      </c>
      <c r="L11" s="41"/>
      <c r="M11" s="44">
        <v>37900</v>
      </c>
    </row>
    <row r="12" spans="1:13" ht="20" customHeight="1" x14ac:dyDescent="0.35">
      <c r="A12" s="15" t="s">
        <v>15</v>
      </c>
      <c r="B12" s="15">
        <v>3580573</v>
      </c>
      <c r="C12" s="15" t="s">
        <v>52</v>
      </c>
      <c r="D12" s="15" t="s">
        <v>53</v>
      </c>
      <c r="E12" s="15" t="s">
        <v>54</v>
      </c>
      <c r="F12" s="15">
        <v>97</v>
      </c>
      <c r="G12" s="15" t="s">
        <v>30</v>
      </c>
      <c r="H12" s="15" t="s">
        <v>31</v>
      </c>
      <c r="I12" s="40">
        <v>1</v>
      </c>
      <c r="J12" s="29">
        <v>21000</v>
      </c>
      <c r="K12" s="41"/>
      <c r="L12" s="41">
        <v>0.35</v>
      </c>
      <c r="M12" s="15"/>
    </row>
    <row r="13" spans="1:13" ht="20" customHeight="1" x14ac:dyDescent="0.35">
      <c r="A13" s="15" t="s">
        <v>15</v>
      </c>
      <c r="B13" s="15">
        <v>1696433</v>
      </c>
      <c r="C13" s="15" t="s">
        <v>55</v>
      </c>
      <c r="D13" s="15" t="s">
        <v>56</v>
      </c>
      <c r="E13" s="15" t="s">
        <v>57</v>
      </c>
      <c r="F13" s="15">
        <v>97</v>
      </c>
      <c r="G13" s="15" t="s">
        <v>30</v>
      </c>
      <c r="H13" s="15" t="s">
        <v>31</v>
      </c>
      <c r="I13" s="40">
        <v>1</v>
      </c>
      <c r="J13" s="29">
        <v>32900</v>
      </c>
      <c r="K13" s="41"/>
      <c r="L13" s="41" t="s">
        <v>58</v>
      </c>
      <c r="M13" s="15"/>
    </row>
    <row r="14" spans="1:13" ht="20" customHeight="1" x14ac:dyDescent="0.35">
      <c r="A14" s="15" t="s">
        <v>15</v>
      </c>
      <c r="B14" s="15">
        <v>1621155</v>
      </c>
      <c r="C14" s="15" t="s">
        <v>59</v>
      </c>
      <c r="D14" s="15" t="s">
        <v>60</v>
      </c>
      <c r="E14" s="15" t="s">
        <v>61</v>
      </c>
      <c r="F14" s="15">
        <v>98</v>
      </c>
      <c r="G14" s="15" t="s">
        <v>62</v>
      </c>
      <c r="H14" s="15" t="s">
        <v>63</v>
      </c>
      <c r="I14" s="40">
        <v>1</v>
      </c>
      <c r="J14" s="29">
        <v>32500</v>
      </c>
      <c r="K14" s="41"/>
      <c r="L14" s="41">
        <v>0.25</v>
      </c>
      <c r="M14" s="15"/>
    </row>
    <row r="15" spans="1:13" ht="20" customHeight="1" x14ac:dyDescent="0.35">
      <c r="A15" s="15" t="s">
        <v>38</v>
      </c>
      <c r="B15" s="15">
        <v>1443507</v>
      </c>
      <c r="C15" s="25" t="s">
        <v>64</v>
      </c>
      <c r="D15" s="15" t="s">
        <v>65</v>
      </c>
      <c r="E15" s="15" t="s">
        <v>66</v>
      </c>
      <c r="F15" s="15">
        <v>63</v>
      </c>
      <c r="G15" s="15" t="s">
        <v>67</v>
      </c>
      <c r="H15" s="15" t="s">
        <v>68</v>
      </c>
      <c r="I15" s="40">
        <v>1</v>
      </c>
      <c r="J15" s="29">
        <v>31499.999999999996</v>
      </c>
      <c r="K15" s="41"/>
      <c r="L15" s="41">
        <v>0.2</v>
      </c>
      <c r="M15" s="15"/>
    </row>
    <row r="16" spans="1:13" ht="20" customHeight="1" x14ac:dyDescent="0.35">
      <c r="A16" s="15" t="s">
        <v>15</v>
      </c>
      <c r="B16" s="15">
        <v>1573394</v>
      </c>
      <c r="C16" s="15" t="s">
        <v>69</v>
      </c>
      <c r="D16" s="15" t="s">
        <v>70</v>
      </c>
      <c r="E16" s="15" t="s">
        <v>71</v>
      </c>
      <c r="F16" s="15">
        <v>406</v>
      </c>
      <c r="G16" s="15" t="s">
        <v>25</v>
      </c>
      <c r="H16" s="15" t="s">
        <v>72</v>
      </c>
      <c r="I16" s="40">
        <v>1</v>
      </c>
      <c r="J16" s="29">
        <v>27000</v>
      </c>
      <c r="K16" s="41"/>
      <c r="L16" s="41">
        <v>0.25</v>
      </c>
      <c r="M16" s="15"/>
    </row>
    <row r="17" spans="1:13" ht="20" customHeight="1" x14ac:dyDescent="0.35">
      <c r="A17" s="15" t="s">
        <v>15</v>
      </c>
      <c r="B17" s="15">
        <v>441781</v>
      </c>
      <c r="C17" s="15" t="s">
        <v>73</v>
      </c>
      <c r="D17" s="15" t="s">
        <v>74</v>
      </c>
      <c r="E17" s="15" t="s">
        <v>75</v>
      </c>
      <c r="F17" s="15">
        <v>405</v>
      </c>
      <c r="G17" s="15" t="s">
        <v>76</v>
      </c>
      <c r="H17" s="15" t="s">
        <v>77</v>
      </c>
      <c r="I17" s="40">
        <v>1</v>
      </c>
      <c r="J17" s="29">
        <v>52500</v>
      </c>
      <c r="K17" s="41"/>
      <c r="L17" s="41">
        <v>0.3</v>
      </c>
      <c r="M17" s="15"/>
    </row>
    <row r="18" spans="1:13" ht="20" customHeight="1" x14ac:dyDescent="0.35">
      <c r="A18" s="15" t="s">
        <v>38</v>
      </c>
      <c r="B18" s="15">
        <v>814670</v>
      </c>
      <c r="C18" s="15" t="s">
        <v>78</v>
      </c>
      <c r="D18" s="15" t="s">
        <v>37</v>
      </c>
      <c r="E18" s="15" t="s">
        <v>79</v>
      </c>
      <c r="F18" s="15">
        <v>90</v>
      </c>
      <c r="G18" s="15" t="s">
        <v>80</v>
      </c>
      <c r="H18" s="15" t="s">
        <v>81</v>
      </c>
      <c r="I18" s="40">
        <v>1</v>
      </c>
      <c r="J18" s="29">
        <v>28000</v>
      </c>
      <c r="K18" s="41"/>
      <c r="L18" s="41">
        <v>0.2</v>
      </c>
      <c r="M18" s="15"/>
    </row>
    <row r="19" spans="1:13" ht="20" customHeight="1" x14ac:dyDescent="0.35">
      <c r="A19" s="15" t="s">
        <v>82</v>
      </c>
      <c r="B19" s="15">
        <v>586152</v>
      </c>
      <c r="C19" s="15" t="s">
        <v>83</v>
      </c>
      <c r="D19" s="15" t="s">
        <v>84</v>
      </c>
      <c r="E19" s="15" t="s">
        <v>85</v>
      </c>
      <c r="F19" s="15">
        <v>83</v>
      </c>
      <c r="G19" s="15" t="s">
        <v>86</v>
      </c>
      <c r="H19" s="15" t="s">
        <v>87</v>
      </c>
      <c r="I19" s="40">
        <v>1</v>
      </c>
      <c r="J19" s="29">
        <v>35000</v>
      </c>
      <c r="K19" s="41"/>
      <c r="L19" s="41">
        <v>0.25</v>
      </c>
      <c r="M19" s="15"/>
    </row>
    <row r="20" spans="1:13" ht="20" customHeight="1" x14ac:dyDescent="0.35">
      <c r="A20" s="15" t="s">
        <v>82</v>
      </c>
      <c r="B20" s="15">
        <v>895557</v>
      </c>
      <c r="C20" s="15" t="s">
        <v>88</v>
      </c>
      <c r="D20" s="15" t="s">
        <v>89</v>
      </c>
      <c r="E20" s="15" t="s">
        <v>85</v>
      </c>
      <c r="F20" s="15">
        <v>83</v>
      </c>
      <c r="G20" s="15" t="s">
        <v>86</v>
      </c>
      <c r="H20" s="15" t="s">
        <v>87</v>
      </c>
      <c r="I20" s="40">
        <v>1</v>
      </c>
      <c r="J20" s="29">
        <v>70000</v>
      </c>
      <c r="K20" s="41"/>
      <c r="L20" s="41">
        <v>0.25</v>
      </c>
      <c r="M20" s="15"/>
    </row>
    <row r="21" spans="1:13" ht="20" customHeight="1" x14ac:dyDescent="0.35">
      <c r="A21" s="15" t="s">
        <v>38</v>
      </c>
      <c r="B21" s="15">
        <v>185260</v>
      </c>
      <c r="C21" s="15" t="s">
        <v>90</v>
      </c>
      <c r="D21" s="15" t="s">
        <v>91</v>
      </c>
      <c r="E21" s="15" t="s">
        <v>92</v>
      </c>
      <c r="F21" s="15">
        <v>63</v>
      </c>
      <c r="G21" s="15" t="s">
        <v>67</v>
      </c>
      <c r="H21" s="15" t="s">
        <v>68</v>
      </c>
      <c r="I21" s="40">
        <v>1</v>
      </c>
      <c r="J21" s="29">
        <v>61249.999999999993</v>
      </c>
      <c r="K21" s="43"/>
      <c r="L21" s="41">
        <v>0.2</v>
      </c>
      <c r="M21" s="15"/>
    </row>
    <row r="22" spans="1:13" ht="20" customHeight="1" x14ac:dyDescent="0.35">
      <c r="A22" s="15" t="s">
        <v>15</v>
      </c>
      <c r="B22" s="15">
        <v>633743</v>
      </c>
      <c r="C22" s="15" t="s">
        <v>93</v>
      </c>
      <c r="D22" s="15" t="s">
        <v>94</v>
      </c>
      <c r="E22" s="15" t="s">
        <v>95</v>
      </c>
      <c r="F22" s="15">
        <v>405</v>
      </c>
      <c r="G22" s="15" t="s">
        <v>76</v>
      </c>
      <c r="H22" s="15" t="s">
        <v>96</v>
      </c>
      <c r="I22" s="40">
        <v>1</v>
      </c>
      <c r="J22" s="29">
        <v>12000</v>
      </c>
      <c r="K22" s="43"/>
      <c r="L22" s="41">
        <v>0.3</v>
      </c>
      <c r="M22" s="15"/>
    </row>
    <row r="23" spans="1:13" ht="20" customHeight="1" x14ac:dyDescent="0.35">
      <c r="A23" s="15" t="s">
        <v>38</v>
      </c>
      <c r="B23" s="15">
        <v>1554892</v>
      </c>
      <c r="C23" s="15" t="s">
        <v>97</v>
      </c>
      <c r="D23" s="15" t="s">
        <v>91</v>
      </c>
      <c r="E23" s="15" t="s">
        <v>98</v>
      </c>
      <c r="F23" s="15">
        <v>63</v>
      </c>
      <c r="G23" s="15" t="s">
        <v>67</v>
      </c>
      <c r="H23" s="15" t="s">
        <v>68</v>
      </c>
      <c r="I23" s="40">
        <v>1</v>
      </c>
      <c r="J23" s="29">
        <v>49000</v>
      </c>
      <c r="K23" s="43"/>
      <c r="L23" s="41">
        <v>0.15</v>
      </c>
      <c r="M23" s="15"/>
    </row>
    <row r="24" spans="1:13" ht="20" customHeight="1" x14ac:dyDescent="0.35">
      <c r="A24" s="15" t="s">
        <v>15</v>
      </c>
      <c r="B24" s="15">
        <v>3433700</v>
      </c>
      <c r="C24" s="15" t="s">
        <v>99</v>
      </c>
      <c r="D24" s="15" t="s">
        <v>100</v>
      </c>
      <c r="E24" s="15" t="s">
        <v>101</v>
      </c>
      <c r="F24" s="15">
        <v>97</v>
      </c>
      <c r="G24" s="15" t="s">
        <v>30</v>
      </c>
      <c r="H24" s="15" t="s">
        <v>102</v>
      </c>
      <c r="I24" s="40">
        <v>1</v>
      </c>
      <c r="J24" s="29">
        <v>21000</v>
      </c>
      <c r="K24" s="41"/>
      <c r="L24" s="41">
        <v>0.25</v>
      </c>
      <c r="M24" s="15"/>
    </row>
    <row r="25" spans="1:13" ht="20" customHeight="1" x14ac:dyDescent="0.35">
      <c r="A25" s="15" t="s">
        <v>38</v>
      </c>
      <c r="B25" s="15">
        <v>441016</v>
      </c>
      <c r="C25" s="15" t="s">
        <v>103</v>
      </c>
      <c r="D25" s="15" t="s">
        <v>104</v>
      </c>
      <c r="E25" s="15" t="s">
        <v>105</v>
      </c>
      <c r="F25" s="15">
        <v>90</v>
      </c>
      <c r="G25" s="15" t="s">
        <v>80</v>
      </c>
      <c r="H25" s="15" t="s">
        <v>106</v>
      </c>
      <c r="I25" s="40">
        <v>1</v>
      </c>
      <c r="J25" s="29">
        <v>42000</v>
      </c>
      <c r="K25" s="41"/>
      <c r="L25" s="41">
        <v>0.3</v>
      </c>
      <c r="M25" s="15"/>
    </row>
    <row r="26" spans="1:13" ht="20" customHeight="1" x14ac:dyDescent="0.35">
      <c r="A26" s="15" t="s">
        <v>15</v>
      </c>
      <c r="B26" s="15">
        <v>411871</v>
      </c>
      <c r="C26" s="15" t="s">
        <v>107</v>
      </c>
      <c r="D26" s="15" t="s">
        <v>108</v>
      </c>
      <c r="E26" s="15" t="s">
        <v>109</v>
      </c>
      <c r="F26" s="15">
        <v>96</v>
      </c>
      <c r="G26" s="15" t="s">
        <v>46</v>
      </c>
      <c r="H26" s="15" t="s">
        <v>47</v>
      </c>
      <c r="I26" s="40">
        <v>1</v>
      </c>
      <c r="J26" s="29">
        <v>7000</v>
      </c>
      <c r="K26" s="41"/>
      <c r="L26" s="41">
        <v>0.4</v>
      </c>
      <c r="M26" s="15"/>
    </row>
    <row r="27" spans="1:13" ht="20" customHeight="1" x14ac:dyDescent="0.35">
      <c r="A27" s="15" t="s">
        <v>15</v>
      </c>
      <c r="B27" s="15">
        <v>411926</v>
      </c>
      <c r="C27" s="15" t="s">
        <v>110</v>
      </c>
      <c r="D27" s="15" t="s">
        <v>108</v>
      </c>
      <c r="E27" s="15" t="s">
        <v>109</v>
      </c>
      <c r="F27" s="15">
        <v>96</v>
      </c>
      <c r="G27" s="15" t="s">
        <v>46</v>
      </c>
      <c r="H27" s="15" t="s">
        <v>47</v>
      </c>
      <c r="I27" s="40">
        <v>1</v>
      </c>
      <c r="J27" s="29">
        <v>7000</v>
      </c>
      <c r="K27" s="41"/>
      <c r="L27" s="41">
        <v>0.4</v>
      </c>
      <c r="M27" s="15"/>
    </row>
    <row r="28" spans="1:13" ht="20" customHeight="1" x14ac:dyDescent="0.35">
      <c r="A28" s="15" t="s">
        <v>15</v>
      </c>
      <c r="B28" s="15">
        <v>967892</v>
      </c>
      <c r="C28" s="15" t="s">
        <v>111</v>
      </c>
      <c r="D28" s="15" t="s">
        <v>112</v>
      </c>
      <c r="E28" s="15" t="s">
        <v>113</v>
      </c>
      <c r="F28" s="15">
        <v>96</v>
      </c>
      <c r="G28" s="15" t="s">
        <v>46</v>
      </c>
      <c r="H28" s="15" t="s">
        <v>114</v>
      </c>
      <c r="I28" s="40">
        <v>1</v>
      </c>
      <c r="J28" s="29">
        <v>7699.9999999999991</v>
      </c>
      <c r="K28" s="41"/>
      <c r="L28" s="41">
        <v>0.25</v>
      </c>
      <c r="M28" s="15"/>
    </row>
    <row r="29" spans="1:13" ht="20" customHeight="1" x14ac:dyDescent="0.35">
      <c r="A29" s="15" t="s">
        <v>82</v>
      </c>
      <c r="B29" s="15">
        <v>504635</v>
      </c>
      <c r="C29" s="15" t="s">
        <v>115</v>
      </c>
      <c r="D29" s="15" t="s">
        <v>116</v>
      </c>
      <c r="E29" s="15" t="s">
        <v>117</v>
      </c>
      <c r="F29" s="15">
        <v>83</v>
      </c>
      <c r="G29" s="15" t="s">
        <v>86</v>
      </c>
      <c r="H29" s="15" t="s">
        <v>118</v>
      </c>
      <c r="I29" s="40">
        <v>1</v>
      </c>
      <c r="J29" s="29">
        <v>23100</v>
      </c>
      <c r="K29" s="41"/>
      <c r="L29" s="41">
        <v>0.25</v>
      </c>
      <c r="M29" s="15"/>
    </row>
    <row r="30" spans="1:13" ht="20" customHeight="1" x14ac:dyDescent="0.35">
      <c r="A30" s="15" t="s">
        <v>82</v>
      </c>
      <c r="B30" s="15">
        <v>3202769</v>
      </c>
      <c r="C30" s="15" t="s">
        <v>119</v>
      </c>
      <c r="D30" s="15" t="s">
        <v>120</v>
      </c>
      <c r="E30" s="15" t="s">
        <v>85</v>
      </c>
      <c r="F30" s="15">
        <v>83</v>
      </c>
      <c r="G30" s="15" t="s">
        <v>86</v>
      </c>
      <c r="H30" s="15" t="s">
        <v>121</v>
      </c>
      <c r="I30" s="40">
        <v>1</v>
      </c>
      <c r="J30" s="29">
        <v>38500</v>
      </c>
      <c r="K30" s="41"/>
      <c r="L30" s="41">
        <v>0.25</v>
      </c>
      <c r="M30" s="15"/>
    </row>
    <row r="31" spans="1:13" ht="20" customHeight="1" x14ac:dyDescent="0.35">
      <c r="A31" s="15" t="s">
        <v>15</v>
      </c>
      <c r="B31" s="15">
        <v>3772334</v>
      </c>
      <c r="C31" s="15" t="s">
        <v>122</v>
      </c>
      <c r="D31" s="15" t="s">
        <v>123</v>
      </c>
      <c r="E31" s="15" t="s">
        <v>124</v>
      </c>
      <c r="F31" s="15">
        <v>406</v>
      </c>
      <c r="G31" s="15" t="s">
        <v>25</v>
      </c>
      <c r="H31" s="15" t="s">
        <v>125</v>
      </c>
      <c r="I31" s="40">
        <v>1</v>
      </c>
      <c r="J31" s="29">
        <v>7000</v>
      </c>
      <c r="K31" s="41"/>
      <c r="L31" s="41" t="s">
        <v>58</v>
      </c>
      <c r="M31" s="15"/>
    </row>
    <row r="32" spans="1:13" ht="20" customHeight="1" x14ac:dyDescent="0.35">
      <c r="A32" s="15" t="s">
        <v>38</v>
      </c>
      <c r="B32" s="15">
        <v>3284574</v>
      </c>
      <c r="C32" s="15" t="s">
        <v>126</v>
      </c>
      <c r="D32" s="15" t="s">
        <v>127</v>
      </c>
      <c r="E32" s="15" t="s">
        <v>128</v>
      </c>
      <c r="F32" s="15">
        <v>94</v>
      </c>
      <c r="G32" s="15" t="s">
        <v>129</v>
      </c>
      <c r="H32" s="15" t="s">
        <v>130</v>
      </c>
      <c r="I32" s="40">
        <v>1</v>
      </c>
      <c r="J32" s="29">
        <v>8000</v>
      </c>
      <c r="K32" s="41"/>
      <c r="L32" s="41">
        <v>0.25</v>
      </c>
      <c r="M32" s="15"/>
    </row>
    <row r="33" spans="1:13" ht="20" customHeight="1" x14ac:dyDescent="0.35">
      <c r="A33" s="15" t="s">
        <v>38</v>
      </c>
      <c r="B33" s="15">
        <v>3284573</v>
      </c>
      <c r="C33" s="15" t="s">
        <v>131</v>
      </c>
      <c r="D33" s="15" t="s">
        <v>127</v>
      </c>
      <c r="E33" s="15" t="s">
        <v>128</v>
      </c>
      <c r="F33" s="15">
        <v>94</v>
      </c>
      <c r="G33" s="15" t="s">
        <v>129</v>
      </c>
      <c r="H33" s="15" t="s">
        <v>130</v>
      </c>
      <c r="I33" s="40">
        <v>1</v>
      </c>
      <c r="J33" s="29">
        <v>6500</v>
      </c>
      <c r="K33" s="41"/>
      <c r="L33" s="41">
        <v>0.25</v>
      </c>
      <c r="M33" s="15"/>
    </row>
    <row r="34" spans="1:13" ht="20" customHeight="1" x14ac:dyDescent="0.35">
      <c r="A34" s="15" t="s">
        <v>38</v>
      </c>
      <c r="B34" s="15">
        <v>603117</v>
      </c>
      <c r="C34" s="15" t="s">
        <v>132</v>
      </c>
      <c r="D34" s="15" t="s">
        <v>133</v>
      </c>
      <c r="E34" s="15" t="s">
        <v>134</v>
      </c>
      <c r="F34" s="15">
        <v>93</v>
      </c>
      <c r="G34" s="15" t="s">
        <v>135</v>
      </c>
      <c r="H34" s="15" t="s">
        <v>136</v>
      </c>
      <c r="I34" s="40">
        <v>1</v>
      </c>
      <c r="J34" s="29">
        <v>31499.999999999996</v>
      </c>
      <c r="K34" s="41"/>
      <c r="L34" s="41">
        <v>0.3</v>
      </c>
      <c r="M34" s="15"/>
    </row>
    <row r="35" spans="1:13" ht="20" customHeight="1" x14ac:dyDescent="0.35">
      <c r="A35" s="15" t="s">
        <v>38</v>
      </c>
      <c r="B35" s="15">
        <v>3642518</v>
      </c>
      <c r="C35" s="15" t="s">
        <v>137</v>
      </c>
      <c r="D35" s="15" t="s">
        <v>138</v>
      </c>
      <c r="E35" s="15" t="s">
        <v>139</v>
      </c>
      <c r="F35" s="15">
        <v>93</v>
      </c>
      <c r="G35" s="15" t="s">
        <v>135</v>
      </c>
      <c r="H35" s="15" t="s">
        <v>140</v>
      </c>
      <c r="I35" s="40">
        <v>5</v>
      </c>
      <c r="J35" s="29">
        <v>14000</v>
      </c>
      <c r="K35" s="41" t="s">
        <v>21</v>
      </c>
      <c r="L35" s="41"/>
      <c r="M35" s="42">
        <v>11200</v>
      </c>
    </row>
    <row r="36" spans="1:13" ht="20" customHeight="1" x14ac:dyDescent="0.35">
      <c r="A36" s="15" t="s">
        <v>38</v>
      </c>
      <c r="B36" s="15">
        <v>3518885</v>
      </c>
      <c r="C36" s="15" t="s">
        <v>142</v>
      </c>
      <c r="D36" s="15" t="s">
        <v>143</v>
      </c>
      <c r="E36" s="15" t="s">
        <v>144</v>
      </c>
      <c r="F36" s="15">
        <v>93</v>
      </c>
      <c r="G36" s="15" t="s">
        <v>135</v>
      </c>
      <c r="H36" s="15" t="s">
        <v>145</v>
      </c>
      <c r="I36" s="40">
        <v>1</v>
      </c>
      <c r="J36" s="29">
        <v>6300</v>
      </c>
      <c r="K36" s="41"/>
      <c r="L36" s="41">
        <v>0.25</v>
      </c>
      <c r="M36" s="15"/>
    </row>
    <row r="37" spans="1:13" ht="20" customHeight="1" x14ac:dyDescent="0.35">
      <c r="A37" s="15" t="s">
        <v>38</v>
      </c>
      <c r="B37" s="15">
        <v>693740</v>
      </c>
      <c r="C37" s="15" t="s">
        <v>146</v>
      </c>
      <c r="D37" s="15" t="s">
        <v>147</v>
      </c>
      <c r="E37" s="15" t="s">
        <v>148</v>
      </c>
      <c r="F37" s="15">
        <v>94</v>
      </c>
      <c r="G37" s="15" t="s">
        <v>129</v>
      </c>
      <c r="H37" s="15" t="s">
        <v>149</v>
      </c>
      <c r="I37" s="40">
        <v>1</v>
      </c>
      <c r="J37" s="29">
        <v>35000</v>
      </c>
      <c r="K37" s="41"/>
      <c r="L37" s="41">
        <v>0.2</v>
      </c>
      <c r="M37" s="15"/>
    </row>
    <row r="38" spans="1:13" ht="20" customHeight="1" x14ac:dyDescent="0.35">
      <c r="A38" s="15" t="s">
        <v>38</v>
      </c>
      <c r="B38" s="15">
        <v>95773</v>
      </c>
      <c r="C38" s="15" t="s">
        <v>150</v>
      </c>
      <c r="D38" s="15" t="s">
        <v>151</v>
      </c>
      <c r="E38" s="15" t="s">
        <v>152</v>
      </c>
      <c r="F38" s="15">
        <v>92</v>
      </c>
      <c r="G38" s="15" t="s">
        <v>153</v>
      </c>
      <c r="H38" s="15" t="s">
        <v>154</v>
      </c>
      <c r="I38" s="40">
        <v>1</v>
      </c>
      <c r="J38" s="29">
        <v>28000</v>
      </c>
      <c r="K38" s="41"/>
      <c r="L38" s="41">
        <v>0.25</v>
      </c>
      <c r="M38" s="15"/>
    </row>
    <row r="39" spans="1:13" ht="20" customHeight="1" x14ac:dyDescent="0.35">
      <c r="A39" s="15" t="s">
        <v>38</v>
      </c>
      <c r="B39" s="15">
        <v>13528</v>
      </c>
      <c r="C39" s="15" t="s">
        <v>155</v>
      </c>
      <c r="D39" s="15" t="s">
        <v>84</v>
      </c>
      <c r="E39" s="15" t="s">
        <v>156</v>
      </c>
      <c r="F39" s="15">
        <v>92</v>
      </c>
      <c r="G39" s="15" t="s">
        <v>153</v>
      </c>
      <c r="H39" s="15" t="s">
        <v>154</v>
      </c>
      <c r="I39" s="40">
        <v>1</v>
      </c>
      <c r="J39" s="29">
        <v>31499.999999999996</v>
      </c>
      <c r="K39" s="41"/>
      <c r="L39" s="41">
        <v>0.25</v>
      </c>
      <c r="M39" s="15"/>
    </row>
    <row r="40" spans="1:13" ht="20" customHeight="1" x14ac:dyDescent="0.35">
      <c r="A40" s="15" t="s">
        <v>185</v>
      </c>
      <c r="B40" s="15">
        <v>495615</v>
      </c>
      <c r="C40" s="15" t="s">
        <v>282</v>
      </c>
      <c r="D40" s="15" t="s">
        <v>108</v>
      </c>
      <c r="E40" s="15" t="s">
        <v>187</v>
      </c>
      <c r="F40" s="15">
        <v>95</v>
      </c>
      <c r="G40" s="15" t="s">
        <v>171</v>
      </c>
      <c r="H40" s="15" t="s">
        <v>172</v>
      </c>
      <c r="I40" s="40">
        <v>1</v>
      </c>
      <c r="J40" s="29">
        <v>2400</v>
      </c>
      <c r="K40" s="41"/>
      <c r="L40" s="41">
        <v>0.3</v>
      </c>
      <c r="M40" s="15"/>
    </row>
  </sheetData>
  <sheetProtection formatCells="0" formatColumns="0" formatRows="0" sort="0" autoFilter="0"/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3FA2-5F74-4A8A-8014-30BD670F9540}">
  <sheetPr>
    <tabColor rgb="FF7030A0"/>
  </sheetPr>
  <dimension ref="A2:M12"/>
  <sheetViews>
    <sheetView showGridLines="0" zoomScale="70" zoomScaleNormal="70" workbookViewId="0">
      <pane xSplit="3" topLeftCell="D1" activePane="topRight" state="frozen"/>
      <selection pane="topRight" activeCell="C19" sqref="C19"/>
    </sheetView>
  </sheetViews>
  <sheetFormatPr baseColWidth="10" defaultColWidth="11.453125" defaultRowHeight="14.5" x14ac:dyDescent="0.35"/>
  <cols>
    <col min="1" max="1" width="8.6328125" style="1" customWidth="1"/>
    <col min="2" max="2" width="11.54296875" style="1" bestFit="1" customWidth="1"/>
    <col min="3" max="3" width="50.54296875" style="1" bestFit="1" customWidth="1"/>
    <col min="4" max="4" width="11.453125" style="1"/>
    <col min="5" max="5" width="12.90625" style="1" customWidth="1"/>
    <col min="6" max="6" width="12.6328125" style="1" bestFit="1" customWidth="1"/>
    <col min="7" max="7" width="18.1796875" style="1" bestFit="1" customWidth="1"/>
    <col min="8" max="8" width="25.1796875" style="1" customWidth="1"/>
    <col min="9" max="9" width="11.54296875" style="3" bestFit="1" customWidth="1"/>
    <col min="10" max="10" width="14.08984375" style="1" customWidth="1"/>
    <col min="11" max="11" width="11.54296875" style="5" bestFit="1" customWidth="1"/>
    <col min="12" max="12" width="16.6328125" style="5" customWidth="1"/>
    <col min="13" max="16384" width="11.453125" style="1"/>
  </cols>
  <sheetData>
    <row r="2" spans="1:13" ht="20" customHeight="1" x14ac:dyDescent="0.45">
      <c r="A2" s="50" t="s">
        <v>288</v>
      </c>
      <c r="B2" s="50"/>
      <c r="C2" s="50"/>
      <c r="J2" s="26"/>
      <c r="K2" s="28"/>
      <c r="L2" s="28"/>
    </row>
    <row r="4" spans="1:13" ht="35.4" customHeight="1" x14ac:dyDescent="0.3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39" t="s">
        <v>283</v>
      </c>
      <c r="K4" s="11" t="s">
        <v>11</v>
      </c>
      <c r="L4" s="12" t="s">
        <v>287</v>
      </c>
      <c r="M4" s="13" t="s">
        <v>14</v>
      </c>
    </row>
    <row r="5" spans="1:13" ht="20" customHeight="1" x14ac:dyDescent="0.35">
      <c r="A5" s="15" t="s">
        <v>15</v>
      </c>
      <c r="B5" s="15">
        <v>3333394</v>
      </c>
      <c r="C5" s="15" t="s">
        <v>159</v>
      </c>
      <c r="D5" s="15" t="s">
        <v>160</v>
      </c>
      <c r="E5" s="15" t="s">
        <v>161</v>
      </c>
      <c r="F5" s="15">
        <v>67</v>
      </c>
      <c r="G5" s="15" t="s">
        <v>19</v>
      </c>
      <c r="H5" s="15" t="s">
        <v>20</v>
      </c>
      <c r="I5" s="40">
        <v>1</v>
      </c>
      <c r="J5" s="29">
        <v>28000</v>
      </c>
      <c r="K5" s="45" t="s">
        <v>21</v>
      </c>
      <c r="L5" s="46"/>
      <c r="M5" s="47">
        <v>29.9</v>
      </c>
    </row>
    <row r="6" spans="1:13" ht="20" customHeight="1" x14ac:dyDescent="0.35">
      <c r="A6" s="15" t="s">
        <v>38</v>
      </c>
      <c r="B6" s="15">
        <v>3036219</v>
      </c>
      <c r="C6" s="15" t="s">
        <v>162</v>
      </c>
      <c r="D6" s="15" t="s">
        <v>163</v>
      </c>
      <c r="E6" s="15" t="s">
        <v>164</v>
      </c>
      <c r="F6" s="15">
        <v>92</v>
      </c>
      <c r="G6" s="15" t="s">
        <v>153</v>
      </c>
      <c r="H6" s="15" t="s">
        <v>154</v>
      </c>
      <c r="I6" s="40">
        <v>1</v>
      </c>
      <c r="J6" s="29">
        <v>21000</v>
      </c>
      <c r="K6" s="45"/>
      <c r="L6" s="31">
        <v>0.25</v>
      </c>
      <c r="M6" s="15"/>
    </row>
    <row r="7" spans="1:13" ht="20" customHeight="1" x14ac:dyDescent="0.35">
      <c r="A7" s="15" t="s">
        <v>38</v>
      </c>
      <c r="B7" s="15">
        <v>923594</v>
      </c>
      <c r="C7" s="15" t="s">
        <v>165</v>
      </c>
      <c r="D7" s="15" t="s">
        <v>166</v>
      </c>
      <c r="E7" s="15" t="s">
        <v>167</v>
      </c>
      <c r="F7" s="15">
        <v>90</v>
      </c>
      <c r="G7" s="15" t="s">
        <v>80</v>
      </c>
      <c r="H7" s="15" t="s">
        <v>81</v>
      </c>
      <c r="I7" s="40">
        <v>1</v>
      </c>
      <c r="J7" s="29">
        <v>24500</v>
      </c>
      <c r="K7" s="45"/>
      <c r="L7" s="31">
        <v>0.2</v>
      </c>
      <c r="M7" s="15"/>
    </row>
    <row r="8" spans="1:13" ht="20" customHeight="1" x14ac:dyDescent="0.35">
      <c r="A8" s="15" t="s">
        <v>38</v>
      </c>
      <c r="B8" s="15">
        <v>1151096</v>
      </c>
      <c r="C8" s="15" t="s">
        <v>168</v>
      </c>
      <c r="D8" s="15" t="s">
        <v>169</v>
      </c>
      <c r="E8" s="15" t="s">
        <v>170</v>
      </c>
      <c r="F8" s="15">
        <v>95</v>
      </c>
      <c r="G8" s="15" t="s">
        <v>171</v>
      </c>
      <c r="H8" s="15" t="s">
        <v>172</v>
      </c>
      <c r="I8" s="40">
        <v>1</v>
      </c>
      <c r="J8" s="29">
        <v>4200</v>
      </c>
      <c r="K8" s="45"/>
      <c r="L8" s="31">
        <v>0.25</v>
      </c>
      <c r="M8" s="15"/>
    </row>
    <row r="9" spans="1:13" ht="20" customHeight="1" x14ac:dyDescent="0.35">
      <c r="A9" s="15" t="s">
        <v>82</v>
      </c>
      <c r="B9" s="15">
        <v>813514</v>
      </c>
      <c r="C9" s="15" t="s">
        <v>173</v>
      </c>
      <c r="D9" s="15" t="s">
        <v>174</v>
      </c>
      <c r="E9" s="15" t="s">
        <v>175</v>
      </c>
      <c r="F9" s="15">
        <v>83</v>
      </c>
      <c r="G9" s="15" t="s">
        <v>86</v>
      </c>
      <c r="H9" s="15" t="s">
        <v>87</v>
      </c>
      <c r="I9" s="40">
        <v>1</v>
      </c>
      <c r="J9" s="29">
        <v>29000</v>
      </c>
      <c r="K9" s="45"/>
      <c r="L9" s="31">
        <v>0.2</v>
      </c>
      <c r="M9" s="15"/>
    </row>
    <row r="10" spans="1:13" ht="20" customHeight="1" x14ac:dyDescent="0.35">
      <c r="A10" s="15" t="s">
        <v>15</v>
      </c>
      <c r="B10" s="25">
        <v>3100456</v>
      </c>
      <c r="C10" s="25" t="s">
        <v>176</v>
      </c>
      <c r="D10" s="15" t="s">
        <v>177</v>
      </c>
      <c r="E10" s="15" t="s">
        <v>178</v>
      </c>
      <c r="F10" s="15">
        <v>98</v>
      </c>
      <c r="G10" s="15" t="s">
        <v>62</v>
      </c>
      <c r="H10" s="15" t="s">
        <v>63</v>
      </c>
      <c r="I10" s="40">
        <v>1</v>
      </c>
      <c r="J10" s="29">
        <v>9000</v>
      </c>
      <c r="K10" s="45" t="s">
        <v>21</v>
      </c>
      <c r="L10" s="48"/>
      <c r="M10" s="42">
        <v>42950</v>
      </c>
    </row>
    <row r="11" spans="1:13" ht="20" customHeight="1" x14ac:dyDescent="0.35">
      <c r="A11" s="15" t="s">
        <v>38</v>
      </c>
      <c r="B11" s="15">
        <v>215766</v>
      </c>
      <c r="C11" s="15" t="s">
        <v>180</v>
      </c>
      <c r="D11" s="15" t="s">
        <v>181</v>
      </c>
      <c r="E11" s="15" t="s">
        <v>182</v>
      </c>
      <c r="F11" s="15">
        <v>403</v>
      </c>
      <c r="G11" s="15" t="s">
        <v>42</v>
      </c>
      <c r="H11" s="15" t="s">
        <v>42</v>
      </c>
      <c r="I11" s="40">
        <v>1</v>
      </c>
      <c r="J11" s="29">
        <v>7000</v>
      </c>
      <c r="K11" s="45"/>
      <c r="L11" s="31">
        <v>0.3</v>
      </c>
      <c r="M11" s="15"/>
    </row>
    <row r="12" spans="1:13" ht="20" customHeight="1" x14ac:dyDescent="0.35">
      <c r="A12" s="15" t="s">
        <v>38</v>
      </c>
      <c r="B12" s="15">
        <v>304612</v>
      </c>
      <c r="C12" s="15" t="s">
        <v>183</v>
      </c>
      <c r="D12" s="15" t="s">
        <v>84</v>
      </c>
      <c r="E12" s="15" t="s">
        <v>184</v>
      </c>
      <c r="F12" s="15">
        <v>93</v>
      </c>
      <c r="G12" s="15" t="s">
        <v>135</v>
      </c>
      <c r="H12" s="15" t="s">
        <v>136</v>
      </c>
      <c r="I12" s="40">
        <v>1</v>
      </c>
      <c r="J12" s="29">
        <v>18000</v>
      </c>
      <c r="K12" s="45"/>
      <c r="L12" s="31">
        <v>0.4</v>
      </c>
      <c r="M12" s="15"/>
    </row>
  </sheetData>
  <sheetProtection formatCells="0" formatColumns="0" formatRows="0" sort="0" autoFilter="0"/>
  <mergeCells count="1"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1764-9067-4962-9A44-C66FC17406BF}">
  <sheetPr>
    <tabColor rgb="FF92D050"/>
  </sheetPr>
  <dimension ref="A2:C92"/>
  <sheetViews>
    <sheetView zoomScale="90" zoomScaleNormal="90" workbookViewId="0">
      <pane xSplit="9" ySplit="1" topLeftCell="J70" activePane="bottomRight" state="frozen"/>
      <selection pane="topRight" activeCell="AW35" sqref="AW35"/>
      <selection pane="bottomLeft" activeCell="AW35" sqref="AW35"/>
      <selection pane="bottomRight" activeCell="B3" sqref="B3:B92"/>
    </sheetView>
  </sheetViews>
  <sheetFormatPr baseColWidth="10" defaultColWidth="11.453125" defaultRowHeight="14.5" x14ac:dyDescent="0.35"/>
  <cols>
    <col min="2" max="2" width="33" bestFit="1" customWidth="1"/>
  </cols>
  <sheetData>
    <row r="2" spans="1:3" x14ac:dyDescent="0.35">
      <c r="A2" s="49" t="s">
        <v>285</v>
      </c>
      <c r="B2" s="49" t="s">
        <v>286</v>
      </c>
      <c r="C2" s="49" t="s">
        <v>189</v>
      </c>
    </row>
    <row r="3" spans="1:3" x14ac:dyDescent="0.35">
      <c r="A3">
        <v>28</v>
      </c>
      <c r="B3" t="s">
        <v>190</v>
      </c>
      <c r="C3" t="s">
        <v>191</v>
      </c>
    </row>
    <row r="4" spans="1:3" x14ac:dyDescent="0.35">
      <c r="A4">
        <v>33</v>
      </c>
      <c r="B4" t="s">
        <v>192</v>
      </c>
      <c r="C4" t="s">
        <v>191</v>
      </c>
    </row>
    <row r="5" spans="1:3" x14ac:dyDescent="0.35">
      <c r="A5">
        <v>35</v>
      </c>
      <c r="B5" t="s">
        <v>193</v>
      </c>
      <c r="C5" t="s">
        <v>191</v>
      </c>
    </row>
    <row r="6" spans="1:3" x14ac:dyDescent="0.35">
      <c r="A6">
        <v>37</v>
      </c>
      <c r="B6" t="s">
        <v>194</v>
      </c>
      <c r="C6" t="s">
        <v>191</v>
      </c>
    </row>
    <row r="7" spans="1:3" x14ac:dyDescent="0.35">
      <c r="A7">
        <v>41</v>
      </c>
      <c r="B7" t="s">
        <v>195</v>
      </c>
      <c r="C7" t="s">
        <v>196</v>
      </c>
    </row>
    <row r="8" spans="1:3" x14ac:dyDescent="0.35">
      <c r="A8">
        <v>42</v>
      </c>
      <c r="B8" t="s">
        <v>197</v>
      </c>
      <c r="C8" t="s">
        <v>191</v>
      </c>
    </row>
    <row r="9" spans="1:3" x14ac:dyDescent="0.35">
      <c r="A9">
        <v>62</v>
      </c>
      <c r="B9" t="s">
        <v>198</v>
      </c>
      <c r="C9" t="s">
        <v>191</v>
      </c>
    </row>
    <row r="10" spans="1:3" x14ac:dyDescent="0.35">
      <c r="A10">
        <v>79</v>
      </c>
      <c r="B10" t="s">
        <v>199</v>
      </c>
      <c r="C10" t="s">
        <v>196</v>
      </c>
    </row>
    <row r="11" spans="1:3" x14ac:dyDescent="0.35">
      <c r="A11">
        <v>81</v>
      </c>
      <c r="B11" t="s">
        <v>200</v>
      </c>
      <c r="C11" t="s">
        <v>196</v>
      </c>
    </row>
    <row r="12" spans="1:3" x14ac:dyDescent="0.35">
      <c r="A12">
        <v>88</v>
      </c>
      <c r="B12" t="s">
        <v>201</v>
      </c>
      <c r="C12" t="s">
        <v>196</v>
      </c>
    </row>
    <row r="13" spans="1:3" x14ac:dyDescent="0.35">
      <c r="A13">
        <v>94</v>
      </c>
      <c r="B13" t="s">
        <v>202</v>
      </c>
      <c r="C13" t="s">
        <v>196</v>
      </c>
    </row>
    <row r="14" spans="1:3" x14ac:dyDescent="0.35">
      <c r="A14">
        <v>156</v>
      </c>
      <c r="B14" t="s">
        <v>203</v>
      </c>
      <c r="C14" t="s">
        <v>191</v>
      </c>
    </row>
    <row r="15" spans="1:3" x14ac:dyDescent="0.35">
      <c r="A15">
        <v>262</v>
      </c>
      <c r="B15" t="s">
        <v>204</v>
      </c>
      <c r="C15" t="s">
        <v>191</v>
      </c>
    </row>
    <row r="16" spans="1:3" x14ac:dyDescent="0.35">
      <c r="A16">
        <v>280</v>
      </c>
      <c r="B16" t="s">
        <v>205</v>
      </c>
      <c r="C16" t="s">
        <v>196</v>
      </c>
    </row>
    <row r="17" spans="1:3" x14ac:dyDescent="0.35">
      <c r="A17">
        <v>294</v>
      </c>
      <c r="B17" t="s">
        <v>206</v>
      </c>
      <c r="C17" t="s">
        <v>196</v>
      </c>
    </row>
    <row r="18" spans="1:3" x14ac:dyDescent="0.35">
      <c r="A18">
        <v>297</v>
      </c>
      <c r="B18" t="s">
        <v>207</v>
      </c>
      <c r="C18" t="s">
        <v>196</v>
      </c>
    </row>
    <row r="19" spans="1:3" x14ac:dyDescent="0.35">
      <c r="A19">
        <v>303</v>
      </c>
      <c r="B19" t="s">
        <v>208</v>
      </c>
      <c r="C19" t="s">
        <v>196</v>
      </c>
    </row>
    <row r="20" spans="1:3" x14ac:dyDescent="0.35">
      <c r="A20">
        <v>307</v>
      </c>
      <c r="B20" t="s">
        <v>209</v>
      </c>
      <c r="C20" t="s">
        <v>196</v>
      </c>
    </row>
    <row r="21" spans="1:3" x14ac:dyDescent="0.35">
      <c r="A21">
        <v>334</v>
      </c>
      <c r="B21" t="s">
        <v>210</v>
      </c>
      <c r="C21" t="s">
        <v>191</v>
      </c>
    </row>
    <row r="22" spans="1:3" x14ac:dyDescent="0.35">
      <c r="A22">
        <v>338</v>
      </c>
      <c r="B22" t="s">
        <v>211</v>
      </c>
      <c r="C22" t="s">
        <v>191</v>
      </c>
    </row>
    <row r="23" spans="1:3" x14ac:dyDescent="0.35">
      <c r="A23">
        <v>339</v>
      </c>
      <c r="B23" t="s">
        <v>212</v>
      </c>
      <c r="C23" t="s">
        <v>191</v>
      </c>
    </row>
    <row r="24" spans="1:3" x14ac:dyDescent="0.35">
      <c r="A24">
        <v>340</v>
      </c>
      <c r="B24" t="s">
        <v>213</v>
      </c>
      <c r="C24" t="s">
        <v>191</v>
      </c>
    </row>
    <row r="25" spans="1:3" x14ac:dyDescent="0.35">
      <c r="A25">
        <v>341</v>
      </c>
      <c r="B25" t="s">
        <v>214</v>
      </c>
      <c r="C25" t="s">
        <v>191</v>
      </c>
    </row>
    <row r="26" spans="1:3" x14ac:dyDescent="0.35">
      <c r="A26">
        <v>356</v>
      </c>
      <c r="B26" t="s">
        <v>215</v>
      </c>
      <c r="C26" t="s">
        <v>196</v>
      </c>
    </row>
    <row r="27" spans="1:3" x14ac:dyDescent="0.35">
      <c r="A27">
        <v>357</v>
      </c>
      <c r="B27" t="s">
        <v>216</v>
      </c>
      <c r="C27" t="s">
        <v>191</v>
      </c>
    </row>
    <row r="28" spans="1:3" x14ac:dyDescent="0.35">
      <c r="A28">
        <v>362</v>
      </c>
      <c r="B28" t="s">
        <v>217</v>
      </c>
      <c r="C28" t="s">
        <v>196</v>
      </c>
    </row>
    <row r="29" spans="1:3" x14ac:dyDescent="0.35">
      <c r="A29">
        <v>363</v>
      </c>
      <c r="B29" t="s">
        <v>218</v>
      </c>
      <c r="C29" t="s">
        <v>196</v>
      </c>
    </row>
    <row r="30" spans="1:3" x14ac:dyDescent="0.35">
      <c r="A30">
        <v>402</v>
      </c>
      <c r="B30" t="s">
        <v>219</v>
      </c>
      <c r="C30" t="s">
        <v>191</v>
      </c>
    </row>
    <row r="31" spans="1:3" x14ac:dyDescent="0.35">
      <c r="A31">
        <v>405</v>
      </c>
      <c r="B31" t="s">
        <v>220</v>
      </c>
      <c r="C31" t="s">
        <v>196</v>
      </c>
    </row>
    <row r="32" spans="1:3" x14ac:dyDescent="0.35">
      <c r="A32">
        <v>406</v>
      </c>
      <c r="B32" t="s">
        <v>221</v>
      </c>
      <c r="C32" t="s">
        <v>196</v>
      </c>
    </row>
    <row r="33" spans="1:3" x14ac:dyDescent="0.35">
      <c r="A33">
        <v>409</v>
      </c>
      <c r="B33" t="s">
        <v>222</v>
      </c>
      <c r="C33" t="s">
        <v>191</v>
      </c>
    </row>
    <row r="34" spans="1:3" x14ac:dyDescent="0.35">
      <c r="A34">
        <v>483</v>
      </c>
      <c r="B34" t="s">
        <v>223</v>
      </c>
      <c r="C34" t="s">
        <v>196</v>
      </c>
    </row>
    <row r="35" spans="1:3" x14ac:dyDescent="0.35">
      <c r="A35">
        <v>518</v>
      </c>
      <c r="B35" t="s">
        <v>224</v>
      </c>
      <c r="C35" t="s">
        <v>196</v>
      </c>
    </row>
    <row r="36" spans="1:3" x14ac:dyDescent="0.35">
      <c r="A36">
        <v>525</v>
      </c>
      <c r="B36" t="s">
        <v>225</v>
      </c>
      <c r="C36" t="s">
        <v>196</v>
      </c>
    </row>
    <row r="37" spans="1:3" x14ac:dyDescent="0.35">
      <c r="A37">
        <v>527</v>
      </c>
      <c r="B37" t="s">
        <v>226</v>
      </c>
      <c r="C37" t="s">
        <v>196</v>
      </c>
    </row>
    <row r="38" spans="1:3" x14ac:dyDescent="0.35">
      <c r="A38">
        <v>534</v>
      </c>
      <c r="B38" t="s">
        <v>227</v>
      </c>
      <c r="C38" t="s">
        <v>196</v>
      </c>
    </row>
    <row r="39" spans="1:3" x14ac:dyDescent="0.35">
      <c r="A39">
        <v>537</v>
      </c>
      <c r="B39" t="s">
        <v>228</v>
      </c>
      <c r="C39" t="s">
        <v>196</v>
      </c>
    </row>
    <row r="40" spans="1:3" x14ac:dyDescent="0.35">
      <c r="A40">
        <v>539</v>
      </c>
      <c r="B40" t="s">
        <v>229</v>
      </c>
      <c r="C40" t="s">
        <v>191</v>
      </c>
    </row>
    <row r="41" spans="1:3" x14ac:dyDescent="0.35">
      <c r="A41">
        <v>542</v>
      </c>
      <c r="B41" t="s">
        <v>230</v>
      </c>
      <c r="C41" t="s">
        <v>191</v>
      </c>
    </row>
    <row r="42" spans="1:3" x14ac:dyDescent="0.35">
      <c r="A42">
        <v>546</v>
      </c>
      <c r="B42" t="s">
        <v>231</v>
      </c>
      <c r="C42" t="s">
        <v>196</v>
      </c>
    </row>
    <row r="43" spans="1:3" x14ac:dyDescent="0.35">
      <c r="A43">
        <v>548</v>
      </c>
      <c r="B43" t="s">
        <v>232</v>
      </c>
      <c r="C43" t="s">
        <v>196</v>
      </c>
    </row>
    <row r="44" spans="1:3" x14ac:dyDescent="0.35">
      <c r="A44">
        <v>549</v>
      </c>
      <c r="B44" t="s">
        <v>233</v>
      </c>
      <c r="C44" t="s">
        <v>196</v>
      </c>
    </row>
    <row r="45" spans="1:3" x14ac:dyDescent="0.35">
      <c r="A45">
        <v>550</v>
      </c>
      <c r="B45" t="s">
        <v>234</v>
      </c>
      <c r="C45" t="s">
        <v>196</v>
      </c>
    </row>
    <row r="46" spans="1:3" x14ac:dyDescent="0.35">
      <c r="A46">
        <v>552</v>
      </c>
      <c r="B46" t="s">
        <v>235</v>
      </c>
      <c r="C46" t="s">
        <v>191</v>
      </c>
    </row>
    <row r="47" spans="1:3" x14ac:dyDescent="0.35">
      <c r="A47">
        <v>556</v>
      </c>
      <c r="B47" t="s">
        <v>236</v>
      </c>
      <c r="C47" t="s">
        <v>196</v>
      </c>
    </row>
    <row r="48" spans="1:3" x14ac:dyDescent="0.35">
      <c r="A48">
        <v>561</v>
      </c>
      <c r="B48" t="s">
        <v>237</v>
      </c>
      <c r="C48" t="s">
        <v>196</v>
      </c>
    </row>
    <row r="49" spans="1:3" x14ac:dyDescent="0.35">
      <c r="A49">
        <v>562</v>
      </c>
      <c r="B49" t="s">
        <v>238</v>
      </c>
      <c r="C49" t="s">
        <v>196</v>
      </c>
    </row>
    <row r="50" spans="1:3" x14ac:dyDescent="0.35">
      <c r="A50">
        <v>563</v>
      </c>
      <c r="B50" t="s">
        <v>239</v>
      </c>
      <c r="C50" t="s">
        <v>196</v>
      </c>
    </row>
    <row r="51" spans="1:3" x14ac:dyDescent="0.35">
      <c r="A51">
        <v>564</v>
      </c>
      <c r="B51" t="s">
        <v>240</v>
      </c>
      <c r="C51" t="s">
        <v>196</v>
      </c>
    </row>
    <row r="52" spans="1:3" x14ac:dyDescent="0.35">
      <c r="A52">
        <v>565</v>
      </c>
      <c r="B52" t="s">
        <v>241</v>
      </c>
      <c r="C52" t="s">
        <v>196</v>
      </c>
    </row>
    <row r="53" spans="1:3" x14ac:dyDescent="0.35">
      <c r="A53">
        <v>566</v>
      </c>
      <c r="B53" t="s">
        <v>242</v>
      </c>
      <c r="C53" t="s">
        <v>196</v>
      </c>
    </row>
    <row r="54" spans="1:3" x14ac:dyDescent="0.35">
      <c r="A54">
        <v>567</v>
      </c>
      <c r="B54" t="s">
        <v>243</v>
      </c>
      <c r="C54" t="s">
        <v>196</v>
      </c>
    </row>
    <row r="55" spans="1:3" x14ac:dyDescent="0.35">
      <c r="A55">
        <v>568</v>
      </c>
      <c r="B55" t="s">
        <v>244</v>
      </c>
      <c r="C55" t="s">
        <v>196</v>
      </c>
    </row>
    <row r="56" spans="1:3" x14ac:dyDescent="0.35">
      <c r="A56">
        <v>569</v>
      </c>
      <c r="B56" t="s">
        <v>245</v>
      </c>
      <c r="C56" t="s">
        <v>196</v>
      </c>
    </row>
    <row r="57" spans="1:3" x14ac:dyDescent="0.35">
      <c r="A57">
        <v>581</v>
      </c>
      <c r="B57" t="s">
        <v>246</v>
      </c>
      <c r="C57" t="s">
        <v>196</v>
      </c>
    </row>
    <row r="58" spans="1:3" x14ac:dyDescent="0.35">
      <c r="A58">
        <v>594</v>
      </c>
      <c r="B58" t="s">
        <v>247</v>
      </c>
      <c r="C58" t="s">
        <v>191</v>
      </c>
    </row>
    <row r="59" spans="1:3" x14ac:dyDescent="0.35">
      <c r="A59">
        <v>595</v>
      </c>
      <c r="B59" t="s">
        <v>248</v>
      </c>
      <c r="C59" t="s">
        <v>191</v>
      </c>
    </row>
    <row r="60" spans="1:3" x14ac:dyDescent="0.35">
      <c r="A60">
        <v>599</v>
      </c>
      <c r="B60" t="s">
        <v>249</v>
      </c>
      <c r="C60" t="s">
        <v>196</v>
      </c>
    </row>
    <row r="61" spans="1:3" x14ac:dyDescent="0.35">
      <c r="A61">
        <v>629</v>
      </c>
      <c r="B61" t="s">
        <v>250</v>
      </c>
      <c r="C61" t="s">
        <v>196</v>
      </c>
    </row>
    <row r="62" spans="1:3" x14ac:dyDescent="0.35">
      <c r="A62">
        <v>633</v>
      </c>
      <c r="B62" t="s">
        <v>251</v>
      </c>
      <c r="C62" t="s">
        <v>191</v>
      </c>
    </row>
    <row r="63" spans="1:3" x14ac:dyDescent="0.35">
      <c r="A63">
        <v>634</v>
      </c>
      <c r="B63" t="s">
        <v>252</v>
      </c>
      <c r="C63" t="s">
        <v>191</v>
      </c>
    </row>
    <row r="64" spans="1:3" x14ac:dyDescent="0.35">
      <c r="A64">
        <v>647</v>
      </c>
      <c r="B64" t="s">
        <v>253</v>
      </c>
      <c r="C64" t="s">
        <v>191</v>
      </c>
    </row>
    <row r="65" spans="1:3" x14ac:dyDescent="0.35">
      <c r="A65">
        <v>665</v>
      </c>
      <c r="B65" t="s">
        <v>254</v>
      </c>
      <c r="C65" t="s">
        <v>196</v>
      </c>
    </row>
    <row r="66" spans="1:3" x14ac:dyDescent="0.35">
      <c r="A66">
        <v>702</v>
      </c>
      <c r="B66" t="s">
        <v>255</v>
      </c>
      <c r="C66" t="s">
        <v>196</v>
      </c>
    </row>
    <row r="67" spans="1:3" x14ac:dyDescent="0.35">
      <c r="A67">
        <v>707</v>
      </c>
      <c r="B67" t="s">
        <v>256</v>
      </c>
      <c r="C67" t="s">
        <v>196</v>
      </c>
    </row>
    <row r="68" spans="1:3" x14ac:dyDescent="0.35">
      <c r="A68">
        <v>710</v>
      </c>
      <c r="B68" t="s">
        <v>257</v>
      </c>
      <c r="C68" t="s">
        <v>196</v>
      </c>
    </row>
    <row r="69" spans="1:3" x14ac:dyDescent="0.35">
      <c r="A69">
        <v>713</v>
      </c>
      <c r="B69" t="s">
        <v>258</v>
      </c>
      <c r="C69" t="s">
        <v>196</v>
      </c>
    </row>
    <row r="70" spans="1:3" x14ac:dyDescent="0.35">
      <c r="A70">
        <v>725</v>
      </c>
      <c r="B70" t="s">
        <v>259</v>
      </c>
      <c r="C70" t="s">
        <v>191</v>
      </c>
    </row>
    <row r="71" spans="1:3" x14ac:dyDescent="0.35">
      <c r="A71">
        <v>726</v>
      </c>
      <c r="B71" t="s">
        <v>260</v>
      </c>
      <c r="C71" t="s">
        <v>191</v>
      </c>
    </row>
    <row r="72" spans="1:3" x14ac:dyDescent="0.35">
      <c r="A72">
        <v>727</v>
      </c>
      <c r="B72" t="s">
        <v>261</v>
      </c>
      <c r="C72" t="s">
        <v>191</v>
      </c>
    </row>
    <row r="73" spans="1:3" x14ac:dyDescent="0.35">
      <c r="A73">
        <v>728</v>
      </c>
      <c r="B73" t="s">
        <v>262</v>
      </c>
      <c r="C73" t="s">
        <v>191</v>
      </c>
    </row>
    <row r="74" spans="1:3" x14ac:dyDescent="0.35">
      <c r="A74">
        <v>729</v>
      </c>
      <c r="B74" t="s">
        <v>263</v>
      </c>
      <c r="C74" t="s">
        <v>191</v>
      </c>
    </row>
    <row r="75" spans="1:3" x14ac:dyDescent="0.35">
      <c r="A75">
        <v>732</v>
      </c>
      <c r="B75" t="s">
        <v>264</v>
      </c>
      <c r="C75" t="s">
        <v>191</v>
      </c>
    </row>
    <row r="76" spans="1:3" x14ac:dyDescent="0.35">
      <c r="A76">
        <v>886</v>
      </c>
      <c r="B76" t="s">
        <v>265</v>
      </c>
      <c r="C76" t="s">
        <v>196</v>
      </c>
    </row>
    <row r="77" spans="1:3" x14ac:dyDescent="0.35">
      <c r="A77">
        <v>4219</v>
      </c>
      <c r="B77" t="s">
        <v>266</v>
      </c>
      <c r="C77" t="s">
        <v>191</v>
      </c>
    </row>
    <row r="78" spans="1:3" x14ac:dyDescent="0.35">
      <c r="A78">
        <v>4234</v>
      </c>
      <c r="B78" t="s">
        <v>267</v>
      </c>
      <c r="C78" t="s">
        <v>191</v>
      </c>
    </row>
    <row r="79" spans="1:3" x14ac:dyDescent="0.35">
      <c r="A79">
        <v>4239</v>
      </c>
      <c r="B79" t="s">
        <v>268</v>
      </c>
      <c r="C79" t="s">
        <v>191</v>
      </c>
    </row>
    <row r="80" spans="1:3" x14ac:dyDescent="0.35">
      <c r="A80">
        <v>4302</v>
      </c>
      <c r="B80" t="s">
        <v>269</v>
      </c>
      <c r="C80" t="s">
        <v>191</v>
      </c>
    </row>
    <row r="81" spans="1:3" x14ac:dyDescent="0.35">
      <c r="A81">
        <v>4800</v>
      </c>
      <c r="B81" t="s">
        <v>270</v>
      </c>
      <c r="C81" t="s">
        <v>196</v>
      </c>
    </row>
    <row r="82" spans="1:3" x14ac:dyDescent="0.35">
      <c r="A82">
        <v>4801</v>
      </c>
      <c r="B82" t="s">
        <v>271</v>
      </c>
      <c r="C82" t="s">
        <v>191</v>
      </c>
    </row>
    <row r="83" spans="1:3" x14ac:dyDescent="0.35">
      <c r="A83">
        <v>4804</v>
      </c>
      <c r="B83" t="s">
        <v>272</v>
      </c>
      <c r="C83" t="s">
        <v>196</v>
      </c>
    </row>
    <row r="84" spans="1:3" x14ac:dyDescent="0.35">
      <c r="A84">
        <v>4805</v>
      </c>
      <c r="B84" t="s">
        <v>273</v>
      </c>
      <c r="C84" t="s">
        <v>191</v>
      </c>
    </row>
    <row r="85" spans="1:3" x14ac:dyDescent="0.35">
      <c r="A85">
        <v>4806</v>
      </c>
      <c r="B85" t="s">
        <v>274</v>
      </c>
      <c r="C85" t="s">
        <v>196</v>
      </c>
    </row>
    <row r="86" spans="1:3" x14ac:dyDescent="0.35">
      <c r="A86">
        <v>4809</v>
      </c>
      <c r="B86" t="s">
        <v>275</v>
      </c>
      <c r="C86" t="s">
        <v>196</v>
      </c>
    </row>
    <row r="87" spans="1:3" x14ac:dyDescent="0.35">
      <c r="A87">
        <v>4811</v>
      </c>
      <c r="B87" t="s">
        <v>276</v>
      </c>
      <c r="C87" t="s">
        <v>191</v>
      </c>
    </row>
    <row r="88" spans="1:3" x14ac:dyDescent="0.35">
      <c r="A88">
        <v>4812</v>
      </c>
      <c r="B88" t="s">
        <v>277</v>
      </c>
      <c r="C88" t="s">
        <v>191</v>
      </c>
    </row>
    <row r="89" spans="1:3" x14ac:dyDescent="0.35">
      <c r="A89">
        <v>4814</v>
      </c>
      <c r="B89" t="s">
        <v>278</v>
      </c>
      <c r="C89" t="s">
        <v>196</v>
      </c>
    </row>
    <row r="90" spans="1:3" x14ac:dyDescent="0.35">
      <c r="A90">
        <v>4816</v>
      </c>
      <c r="B90" t="s">
        <v>279</v>
      </c>
      <c r="C90" t="s">
        <v>196</v>
      </c>
    </row>
    <row r="91" spans="1:3" x14ac:dyDescent="0.35">
      <c r="A91">
        <v>4817</v>
      </c>
      <c r="B91" t="s">
        <v>280</v>
      </c>
      <c r="C91" t="s">
        <v>196</v>
      </c>
    </row>
    <row r="92" spans="1:3" x14ac:dyDescent="0.35">
      <c r="A92">
        <v>4818</v>
      </c>
      <c r="B92" t="s">
        <v>281</v>
      </c>
      <c r="C9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6137-C18D-4BFE-9F37-F1CA68EDB193}">
  <sheetPr>
    <tabColor rgb="FF00B0F0"/>
  </sheetPr>
  <dimension ref="A1:L53"/>
  <sheetViews>
    <sheetView showGridLines="0" topLeftCell="A36" zoomScale="70" zoomScaleNormal="70" workbookViewId="0">
      <pane xSplit="3" topLeftCell="D1" activePane="topRight" state="frozen"/>
      <selection pane="topRight" activeCell="F52" sqref="F52"/>
    </sheetView>
  </sheetViews>
  <sheetFormatPr baseColWidth="10" defaultColWidth="11.453125" defaultRowHeight="14.5" x14ac:dyDescent="0.35"/>
  <cols>
    <col min="1" max="1" width="8.6328125" style="1" customWidth="1"/>
    <col min="2" max="2" width="11.54296875" style="1" bestFit="1" customWidth="1"/>
    <col min="3" max="3" width="32.1796875" style="1" customWidth="1"/>
    <col min="4" max="4" width="11.453125" style="1"/>
    <col min="5" max="5" width="12.90625" style="1" customWidth="1"/>
    <col min="6" max="6" width="14.08984375" style="1" customWidth="1"/>
    <col min="7" max="7" width="19.81640625" style="4" bestFit="1" customWidth="1"/>
    <col min="8" max="8" width="11.54296875" style="5" bestFit="1" customWidth="1"/>
    <col min="9" max="9" width="22.81640625" style="3" bestFit="1" customWidth="1"/>
    <col min="10" max="10" width="16.6328125" style="5" customWidth="1"/>
    <col min="11" max="16384" width="11.453125" style="1"/>
  </cols>
  <sheetData>
    <row r="1" spans="1:11" ht="18.5" x14ac:dyDescent="0.45">
      <c r="A1" s="51"/>
      <c r="B1" s="51"/>
      <c r="C1" s="51"/>
    </row>
    <row r="2" spans="1:11" ht="16" x14ac:dyDescent="0.4">
      <c r="F2" s="6">
        <f>SUBTOTAL(9,F4:F43)</f>
        <v>1440706</v>
      </c>
      <c r="G2" s="7">
        <f>SUBTOTAL(9,G4:G43)</f>
        <v>31166020900</v>
      </c>
    </row>
    <row r="3" spans="1:11" s="14" customFormat="1" ht="41.4" customHeight="1" x14ac:dyDescent="0.3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9</v>
      </c>
      <c r="G3" s="10" t="s">
        <v>10</v>
      </c>
      <c r="H3" s="11" t="s">
        <v>11</v>
      </c>
      <c r="I3" s="8" t="s">
        <v>12</v>
      </c>
      <c r="J3" s="12" t="s">
        <v>13</v>
      </c>
      <c r="K3" s="13" t="s">
        <v>14</v>
      </c>
    </row>
    <row r="4" spans="1:11" ht="20" customHeight="1" x14ac:dyDescent="0.35">
      <c r="A4" s="15" t="s">
        <v>15</v>
      </c>
      <c r="B4" s="16">
        <v>3727036</v>
      </c>
      <c r="C4" s="15" t="s">
        <v>16</v>
      </c>
      <c r="D4" s="15" t="s">
        <v>17</v>
      </c>
      <c r="E4" s="15" t="s">
        <v>18</v>
      </c>
      <c r="F4" s="17">
        <v>50000</v>
      </c>
      <c r="G4" s="18">
        <v>1237500000</v>
      </c>
      <c r="H4" s="19" t="s">
        <v>21</v>
      </c>
      <c r="I4" s="19"/>
      <c r="J4" s="19"/>
      <c r="K4" s="20">
        <v>24750</v>
      </c>
    </row>
    <row r="5" spans="1:11" ht="20" customHeight="1" x14ac:dyDescent="0.35">
      <c r="A5" s="15" t="s">
        <v>15</v>
      </c>
      <c r="B5" s="16">
        <v>1186952</v>
      </c>
      <c r="C5" s="15" t="s">
        <v>22</v>
      </c>
      <c r="D5" s="15" t="s">
        <v>23</v>
      </c>
      <c r="E5" s="15" t="s">
        <v>24</v>
      </c>
      <c r="F5" s="17">
        <v>30000</v>
      </c>
      <c r="G5" s="18">
        <v>2012835000</v>
      </c>
      <c r="H5" s="19"/>
      <c r="I5" s="19">
        <v>0.25</v>
      </c>
      <c r="J5" s="21">
        <v>0.25</v>
      </c>
      <c r="K5" s="15"/>
    </row>
    <row r="6" spans="1:11" ht="20" customHeight="1" x14ac:dyDescent="0.35">
      <c r="A6" s="15" t="s">
        <v>15</v>
      </c>
      <c r="B6" s="16">
        <v>3001782</v>
      </c>
      <c r="C6" s="15" t="s">
        <v>27</v>
      </c>
      <c r="D6" s="15" t="s">
        <v>28</v>
      </c>
      <c r="E6" s="15" t="s">
        <v>29</v>
      </c>
      <c r="F6" s="17">
        <v>36000</v>
      </c>
      <c r="G6" s="18">
        <v>1907280000</v>
      </c>
      <c r="H6" s="19"/>
      <c r="I6" s="19">
        <v>0.4</v>
      </c>
      <c r="J6" s="21">
        <v>0.5</v>
      </c>
      <c r="K6" s="15"/>
    </row>
    <row r="7" spans="1:11" ht="20" customHeight="1" x14ac:dyDescent="0.35">
      <c r="A7" s="15" t="s">
        <v>15</v>
      </c>
      <c r="B7" s="16">
        <v>3287702</v>
      </c>
      <c r="C7" s="15" t="s">
        <v>32</v>
      </c>
      <c r="D7" s="15" t="s">
        <v>33</v>
      </c>
      <c r="E7" s="15" t="s">
        <v>34</v>
      </c>
      <c r="F7" s="17">
        <v>53000</v>
      </c>
      <c r="G7" s="18">
        <v>1900050000</v>
      </c>
      <c r="H7" s="19"/>
      <c r="I7" s="19">
        <v>0.25</v>
      </c>
      <c r="J7" s="21">
        <v>0.25</v>
      </c>
      <c r="K7" s="15"/>
    </row>
    <row r="8" spans="1:11" ht="20" customHeight="1" x14ac:dyDescent="0.35">
      <c r="A8" s="15" t="s">
        <v>15</v>
      </c>
      <c r="B8" s="16">
        <v>1413539</v>
      </c>
      <c r="C8" s="15" t="s">
        <v>36</v>
      </c>
      <c r="D8" s="15" t="s">
        <v>37</v>
      </c>
      <c r="E8" s="15" t="s">
        <v>29</v>
      </c>
      <c r="F8" s="17">
        <v>42000</v>
      </c>
      <c r="G8" s="18">
        <v>1846320000</v>
      </c>
      <c r="H8" s="19"/>
      <c r="I8" s="19">
        <v>0.3</v>
      </c>
      <c r="J8" s="22">
        <v>39950</v>
      </c>
      <c r="K8" s="15"/>
    </row>
    <row r="9" spans="1:11" ht="20" customHeight="1" x14ac:dyDescent="0.35">
      <c r="A9" s="15" t="s">
        <v>38</v>
      </c>
      <c r="B9" s="16">
        <v>3452377</v>
      </c>
      <c r="C9" s="15" t="s">
        <v>39</v>
      </c>
      <c r="D9" s="15" t="s">
        <v>40</v>
      </c>
      <c r="E9" s="15" t="s">
        <v>41</v>
      </c>
      <c r="F9" s="17">
        <v>50000</v>
      </c>
      <c r="G9" s="18">
        <v>1458750000</v>
      </c>
      <c r="H9" s="19"/>
      <c r="I9" s="19">
        <v>0.25</v>
      </c>
      <c r="J9" s="21">
        <v>0.25</v>
      </c>
      <c r="K9" s="15"/>
    </row>
    <row r="10" spans="1:11" ht="20" customHeight="1" x14ac:dyDescent="0.35">
      <c r="A10" s="15" t="s">
        <v>15</v>
      </c>
      <c r="B10" s="16">
        <v>3831166</v>
      </c>
      <c r="C10" s="15" t="s">
        <v>43</v>
      </c>
      <c r="D10" s="15" t="s">
        <v>44</v>
      </c>
      <c r="E10" s="15" t="s">
        <v>45</v>
      </c>
      <c r="F10" s="17">
        <v>45000</v>
      </c>
      <c r="G10" s="18">
        <v>1440000000</v>
      </c>
      <c r="H10" s="19" t="s">
        <v>21</v>
      </c>
      <c r="I10" s="19"/>
      <c r="J10" s="23"/>
      <c r="K10" s="24">
        <v>29900</v>
      </c>
    </row>
    <row r="11" spans="1:11" ht="20" customHeight="1" x14ac:dyDescent="0.35">
      <c r="A11" s="15" t="s">
        <v>15</v>
      </c>
      <c r="B11" s="16">
        <v>1202364</v>
      </c>
      <c r="C11" s="15" t="s">
        <v>48</v>
      </c>
      <c r="D11" s="15" t="s">
        <v>49</v>
      </c>
      <c r="E11" s="15" t="s">
        <v>50</v>
      </c>
      <c r="F11" s="17">
        <v>35000</v>
      </c>
      <c r="G11" s="18">
        <v>1264944800</v>
      </c>
      <c r="H11" s="19" t="s">
        <v>21</v>
      </c>
      <c r="I11" s="19"/>
      <c r="J11" s="19"/>
      <c r="K11" s="24">
        <v>37900</v>
      </c>
    </row>
    <row r="12" spans="1:11" ht="20" customHeight="1" x14ac:dyDescent="0.35">
      <c r="A12" s="15" t="s">
        <v>15</v>
      </c>
      <c r="B12" s="16">
        <v>3580573</v>
      </c>
      <c r="C12" s="15" t="s">
        <v>52</v>
      </c>
      <c r="D12" s="15" t="s">
        <v>53</v>
      </c>
      <c r="E12" s="15" t="s">
        <v>54</v>
      </c>
      <c r="F12" s="17">
        <v>30000</v>
      </c>
      <c r="G12" s="18">
        <v>1148550000</v>
      </c>
      <c r="H12" s="19"/>
      <c r="I12" s="19">
        <v>0.35</v>
      </c>
      <c r="J12" s="21">
        <v>0.35</v>
      </c>
      <c r="K12" s="15"/>
    </row>
    <row r="13" spans="1:11" ht="20" customHeight="1" x14ac:dyDescent="0.35">
      <c r="A13" s="15" t="s">
        <v>15</v>
      </c>
      <c r="B13" s="16">
        <v>1696433</v>
      </c>
      <c r="C13" s="15" t="s">
        <v>55</v>
      </c>
      <c r="D13" s="15" t="s">
        <v>56</v>
      </c>
      <c r="E13" s="15" t="s">
        <v>57</v>
      </c>
      <c r="F13" s="17">
        <v>47000</v>
      </c>
      <c r="G13" s="18">
        <v>1058557500</v>
      </c>
      <c r="H13" s="19"/>
      <c r="I13" s="19">
        <v>0.45</v>
      </c>
      <c r="J13" s="21" t="s">
        <v>58</v>
      </c>
      <c r="K13" s="15"/>
    </row>
    <row r="14" spans="1:11" ht="20" customHeight="1" x14ac:dyDescent="0.35">
      <c r="A14" s="15" t="s">
        <v>15</v>
      </c>
      <c r="B14" s="16">
        <v>1621155</v>
      </c>
      <c r="C14" s="15" t="s">
        <v>59</v>
      </c>
      <c r="D14" s="15" t="s">
        <v>60</v>
      </c>
      <c r="E14" s="15" t="s">
        <v>61</v>
      </c>
      <c r="F14" s="17">
        <v>46800</v>
      </c>
      <c r="G14" s="18">
        <v>1003860000</v>
      </c>
      <c r="H14" s="19"/>
      <c r="I14" s="19">
        <v>0.25</v>
      </c>
      <c r="J14" s="21">
        <v>0.25</v>
      </c>
      <c r="K14" s="15"/>
    </row>
    <row r="15" spans="1:11" ht="20" customHeight="1" x14ac:dyDescent="0.35">
      <c r="A15" s="15" t="s">
        <v>38</v>
      </c>
      <c r="B15" s="16">
        <v>1443507</v>
      </c>
      <c r="C15" s="25" t="s">
        <v>64</v>
      </c>
      <c r="D15" s="15" t="s">
        <v>65</v>
      </c>
      <c r="E15" s="15" t="s">
        <v>66</v>
      </c>
      <c r="F15" s="17">
        <v>45000</v>
      </c>
      <c r="G15" s="18">
        <v>963900000</v>
      </c>
      <c r="H15" s="19"/>
      <c r="I15" s="19">
        <v>0.15</v>
      </c>
      <c r="J15" s="21">
        <v>0.2</v>
      </c>
      <c r="K15" s="15"/>
    </row>
    <row r="16" spans="1:11" ht="20" customHeight="1" x14ac:dyDescent="0.35">
      <c r="A16" s="15" t="s">
        <v>15</v>
      </c>
      <c r="B16" s="16">
        <v>1573394</v>
      </c>
      <c r="C16" s="15" t="s">
        <v>69</v>
      </c>
      <c r="D16" s="15" t="s">
        <v>70</v>
      </c>
      <c r="E16" s="15" t="s">
        <v>71</v>
      </c>
      <c r="F16" s="17">
        <v>38400</v>
      </c>
      <c r="G16" s="18">
        <v>744929280</v>
      </c>
      <c r="H16" s="19"/>
      <c r="I16" s="19">
        <v>0.25</v>
      </c>
      <c r="J16" s="21">
        <v>0.25</v>
      </c>
      <c r="K16" s="15"/>
    </row>
    <row r="17" spans="1:11" ht="20" customHeight="1" x14ac:dyDescent="0.35">
      <c r="A17" s="15" t="s">
        <v>15</v>
      </c>
      <c r="B17" s="16">
        <v>441781</v>
      </c>
      <c r="C17" s="15" t="s">
        <v>73</v>
      </c>
      <c r="D17" s="15" t="s">
        <v>74</v>
      </c>
      <c r="E17" s="15" t="s">
        <v>75</v>
      </c>
      <c r="F17" s="17">
        <v>75000</v>
      </c>
      <c r="G17" s="18">
        <v>716625000</v>
      </c>
      <c r="H17" s="19"/>
      <c r="I17" s="19">
        <v>0.3</v>
      </c>
      <c r="J17" s="21">
        <v>0.3</v>
      </c>
      <c r="K17" s="15"/>
    </row>
    <row r="18" spans="1:11" ht="20" customHeight="1" x14ac:dyDescent="0.35">
      <c r="A18" s="15" t="s">
        <v>38</v>
      </c>
      <c r="B18" s="16">
        <v>814670</v>
      </c>
      <c r="C18" s="15" t="s">
        <v>78</v>
      </c>
      <c r="D18" s="15" t="s">
        <v>37</v>
      </c>
      <c r="E18" s="15" t="s">
        <v>79</v>
      </c>
      <c r="F18" s="17">
        <v>40000</v>
      </c>
      <c r="G18" s="18">
        <v>678300000</v>
      </c>
      <c r="H18" s="19"/>
      <c r="I18" s="19">
        <v>0.15</v>
      </c>
      <c r="J18" s="21">
        <v>0.2</v>
      </c>
      <c r="K18" s="15"/>
    </row>
    <row r="19" spans="1:11" ht="20" customHeight="1" x14ac:dyDescent="0.35">
      <c r="A19" s="15" t="s">
        <v>82</v>
      </c>
      <c r="B19" s="16">
        <v>586152</v>
      </c>
      <c r="C19" s="15" t="s">
        <v>83</v>
      </c>
      <c r="D19" s="15" t="s">
        <v>84</v>
      </c>
      <c r="E19" s="15" t="s">
        <v>85</v>
      </c>
      <c r="F19" s="17">
        <v>50000</v>
      </c>
      <c r="G19" s="18">
        <v>930000000</v>
      </c>
      <c r="H19" s="19"/>
      <c r="I19" s="19">
        <v>0.2</v>
      </c>
      <c r="J19" s="21">
        <v>0.25</v>
      </c>
      <c r="K19" s="15"/>
    </row>
    <row r="20" spans="1:11" ht="20" customHeight="1" x14ac:dyDescent="0.35">
      <c r="A20" s="15" t="s">
        <v>82</v>
      </c>
      <c r="B20" s="16">
        <v>895557</v>
      </c>
      <c r="C20" s="15" t="s">
        <v>88</v>
      </c>
      <c r="D20" s="15" t="s">
        <v>89</v>
      </c>
      <c r="E20" s="15" t="s">
        <v>85</v>
      </c>
      <c r="F20" s="17">
        <v>100000</v>
      </c>
      <c r="G20" s="18">
        <v>848000000</v>
      </c>
      <c r="H20" s="19"/>
      <c r="I20" s="19">
        <v>0.2</v>
      </c>
      <c r="J20" s="21">
        <v>0.25</v>
      </c>
      <c r="K20" s="15"/>
    </row>
    <row r="21" spans="1:11" ht="20" customHeight="1" x14ac:dyDescent="0.35">
      <c r="A21" s="15" t="s">
        <v>38</v>
      </c>
      <c r="B21" s="16">
        <v>185260</v>
      </c>
      <c r="C21" s="15" t="s">
        <v>90</v>
      </c>
      <c r="D21" s="15" t="s">
        <v>91</v>
      </c>
      <c r="E21" s="15" t="s">
        <v>92</v>
      </c>
      <c r="F21" s="17">
        <v>87500</v>
      </c>
      <c r="G21" s="18">
        <v>571375000</v>
      </c>
      <c r="H21" s="23"/>
      <c r="I21" s="19">
        <v>0.15</v>
      </c>
      <c r="J21" s="21">
        <v>0.2</v>
      </c>
      <c r="K21" s="15"/>
    </row>
    <row r="22" spans="1:11" ht="20" customHeight="1" x14ac:dyDescent="0.35">
      <c r="A22" s="15" t="s">
        <v>15</v>
      </c>
      <c r="B22" s="16">
        <v>633743</v>
      </c>
      <c r="C22" s="15" t="s">
        <v>93</v>
      </c>
      <c r="D22" s="15" t="s">
        <v>94</v>
      </c>
      <c r="E22" s="15" t="s">
        <v>95</v>
      </c>
      <c r="F22" s="17">
        <v>17400</v>
      </c>
      <c r="G22" s="18">
        <v>444483000</v>
      </c>
      <c r="H22" s="23"/>
      <c r="I22" s="19">
        <v>0.35</v>
      </c>
      <c r="J22" s="21">
        <v>0.35</v>
      </c>
      <c r="K22" s="15"/>
    </row>
    <row r="23" spans="1:11" ht="20" customHeight="1" x14ac:dyDescent="0.35">
      <c r="A23" s="15" t="s">
        <v>38</v>
      </c>
      <c r="B23" s="16">
        <v>1554892</v>
      </c>
      <c r="C23" s="15" t="s">
        <v>97</v>
      </c>
      <c r="D23" s="15" t="s">
        <v>91</v>
      </c>
      <c r="E23" s="15" t="s">
        <v>98</v>
      </c>
      <c r="F23" s="17">
        <v>70000</v>
      </c>
      <c r="G23" s="18">
        <v>532000000</v>
      </c>
      <c r="H23" s="23"/>
      <c r="I23" s="19">
        <v>0.13</v>
      </c>
      <c r="J23" s="21">
        <v>0.15</v>
      </c>
      <c r="K23" s="15"/>
    </row>
    <row r="24" spans="1:11" ht="20" customHeight="1" x14ac:dyDescent="0.35">
      <c r="A24" s="15" t="s">
        <v>15</v>
      </c>
      <c r="B24" s="16">
        <v>3433700</v>
      </c>
      <c r="C24" s="15" t="s">
        <v>99</v>
      </c>
      <c r="D24" s="15" t="s">
        <v>100</v>
      </c>
      <c r="E24" s="15" t="s">
        <v>101</v>
      </c>
      <c r="F24" s="17">
        <v>30000</v>
      </c>
      <c r="G24" s="18">
        <v>491625000</v>
      </c>
      <c r="H24" s="19"/>
      <c r="I24" s="19">
        <v>0.25</v>
      </c>
      <c r="J24" s="21">
        <v>0.25</v>
      </c>
      <c r="K24" s="15"/>
    </row>
    <row r="25" spans="1:11" ht="20" customHeight="1" x14ac:dyDescent="0.35">
      <c r="A25" s="15" t="s">
        <v>38</v>
      </c>
      <c r="B25" s="16">
        <v>441016</v>
      </c>
      <c r="C25" s="15" t="s">
        <v>103</v>
      </c>
      <c r="D25" s="15" t="s">
        <v>104</v>
      </c>
      <c r="E25" s="15" t="s">
        <v>105</v>
      </c>
      <c r="F25" s="17">
        <v>60000</v>
      </c>
      <c r="G25" s="18">
        <v>457799999.99999994</v>
      </c>
      <c r="H25" s="19"/>
      <c r="I25" s="19">
        <v>0.3</v>
      </c>
      <c r="J25" s="21">
        <v>0.3</v>
      </c>
      <c r="K25" s="15"/>
    </row>
    <row r="26" spans="1:11" ht="20" customHeight="1" x14ac:dyDescent="0.35">
      <c r="A26" s="15" t="s">
        <v>15</v>
      </c>
      <c r="B26" s="16">
        <v>411871</v>
      </c>
      <c r="C26" s="15" t="s">
        <v>107</v>
      </c>
      <c r="D26" s="15" t="s">
        <v>108</v>
      </c>
      <c r="E26" s="15" t="s">
        <v>109</v>
      </c>
      <c r="F26" s="17">
        <v>10000</v>
      </c>
      <c r="G26" s="18">
        <v>450000000</v>
      </c>
      <c r="H26" s="19"/>
      <c r="I26" s="19">
        <v>0.35</v>
      </c>
      <c r="J26" s="21">
        <v>0.4</v>
      </c>
      <c r="K26" s="15"/>
    </row>
    <row r="27" spans="1:11" ht="20" customHeight="1" x14ac:dyDescent="0.35">
      <c r="A27" s="15" t="s">
        <v>15</v>
      </c>
      <c r="B27" s="16">
        <v>411926</v>
      </c>
      <c r="C27" s="15" t="s">
        <v>110</v>
      </c>
      <c r="D27" s="15" t="s">
        <v>108</v>
      </c>
      <c r="E27" s="15" t="s">
        <v>109</v>
      </c>
      <c r="F27" s="17">
        <v>10000</v>
      </c>
      <c r="G27" s="18">
        <v>450000000</v>
      </c>
      <c r="H27" s="19"/>
      <c r="I27" s="19">
        <v>0.35</v>
      </c>
      <c r="J27" s="21">
        <v>0.4</v>
      </c>
      <c r="K27" s="15"/>
    </row>
    <row r="28" spans="1:11" ht="20" customHeight="1" x14ac:dyDescent="0.35">
      <c r="A28" s="15" t="s">
        <v>15</v>
      </c>
      <c r="B28" s="16">
        <v>967892</v>
      </c>
      <c r="C28" s="15" t="s">
        <v>111</v>
      </c>
      <c r="D28" s="15" t="s">
        <v>112</v>
      </c>
      <c r="E28" s="15" t="s">
        <v>113</v>
      </c>
      <c r="F28" s="17">
        <v>11000</v>
      </c>
      <c r="G28" s="18">
        <v>419903000</v>
      </c>
      <c r="H28" s="19"/>
      <c r="I28" s="19">
        <v>0.25</v>
      </c>
      <c r="J28" s="21">
        <v>0.25</v>
      </c>
      <c r="K28" s="15"/>
    </row>
    <row r="29" spans="1:11" ht="20" customHeight="1" x14ac:dyDescent="0.35">
      <c r="A29" s="15" t="s">
        <v>82</v>
      </c>
      <c r="B29" s="16">
        <v>504635</v>
      </c>
      <c r="C29" s="15" t="s">
        <v>115</v>
      </c>
      <c r="D29" s="15" t="s">
        <v>116</v>
      </c>
      <c r="E29" s="15" t="s">
        <v>117</v>
      </c>
      <c r="F29" s="17">
        <v>33000</v>
      </c>
      <c r="G29" s="18">
        <v>337837500</v>
      </c>
      <c r="H29" s="19"/>
      <c r="I29" s="19">
        <v>0.25</v>
      </c>
      <c r="J29" s="21">
        <v>0.25</v>
      </c>
      <c r="K29" s="15"/>
    </row>
    <row r="30" spans="1:11" ht="20" customHeight="1" x14ac:dyDescent="0.35">
      <c r="A30" s="15" t="s">
        <v>82</v>
      </c>
      <c r="B30" s="16">
        <v>3202769</v>
      </c>
      <c r="C30" s="15" t="s">
        <v>119</v>
      </c>
      <c r="D30" s="15" t="s">
        <v>120</v>
      </c>
      <c r="E30" s="15" t="s">
        <v>85</v>
      </c>
      <c r="F30" s="17">
        <v>55000</v>
      </c>
      <c r="G30" s="18">
        <v>1501885000</v>
      </c>
      <c r="H30" s="19"/>
      <c r="I30" s="19">
        <v>0.17</v>
      </c>
      <c r="J30" s="21">
        <v>0.25</v>
      </c>
      <c r="K30" s="15"/>
    </row>
    <row r="31" spans="1:11" ht="20" customHeight="1" x14ac:dyDescent="0.35">
      <c r="A31" s="15" t="s">
        <v>15</v>
      </c>
      <c r="B31" s="16">
        <v>3772334</v>
      </c>
      <c r="C31" s="15" t="s">
        <v>122</v>
      </c>
      <c r="D31" s="15" t="s">
        <v>123</v>
      </c>
      <c r="E31" s="15" t="s">
        <v>124</v>
      </c>
      <c r="F31" s="17">
        <v>10000</v>
      </c>
      <c r="G31" s="18">
        <v>254179500</v>
      </c>
      <c r="H31" s="19"/>
      <c r="I31" s="19">
        <v>0.5</v>
      </c>
      <c r="J31" s="21" t="s">
        <v>58</v>
      </c>
      <c r="K31" s="15"/>
    </row>
    <row r="32" spans="1:11" ht="20" customHeight="1" x14ac:dyDescent="0.35">
      <c r="A32" s="15" t="s">
        <v>38</v>
      </c>
      <c r="B32" s="16">
        <v>3284574</v>
      </c>
      <c r="C32" s="15" t="s">
        <v>126</v>
      </c>
      <c r="D32" s="15" t="s">
        <v>127</v>
      </c>
      <c r="E32" s="15" t="s">
        <v>128</v>
      </c>
      <c r="F32" s="17">
        <v>11454</v>
      </c>
      <c r="G32" s="18">
        <v>67807680</v>
      </c>
      <c r="H32" s="19"/>
      <c r="I32" s="19">
        <v>0.2</v>
      </c>
      <c r="J32" s="21">
        <v>0.25</v>
      </c>
      <c r="K32" s="15"/>
    </row>
    <row r="33" spans="1:12" ht="20" customHeight="1" x14ac:dyDescent="0.35">
      <c r="A33" s="15" t="s">
        <v>38</v>
      </c>
      <c r="B33" s="16">
        <v>3284573</v>
      </c>
      <c r="C33" s="15" t="s">
        <v>131</v>
      </c>
      <c r="D33" s="15" t="s">
        <v>127</v>
      </c>
      <c r="E33" s="15" t="s">
        <v>128</v>
      </c>
      <c r="F33" s="17">
        <v>9752</v>
      </c>
      <c r="G33" s="18">
        <v>57731840</v>
      </c>
      <c r="H33" s="19"/>
      <c r="I33" s="19">
        <v>0.2</v>
      </c>
      <c r="J33" s="21">
        <v>0.25</v>
      </c>
      <c r="K33" s="15"/>
    </row>
    <row r="34" spans="1:12" ht="20" customHeight="1" x14ac:dyDescent="0.35">
      <c r="A34" s="15" t="s">
        <v>38</v>
      </c>
      <c r="B34" s="16">
        <v>603117</v>
      </c>
      <c r="C34" s="15" t="s">
        <v>132</v>
      </c>
      <c r="D34" s="15" t="s">
        <v>133</v>
      </c>
      <c r="E34" s="15" t="s">
        <v>134</v>
      </c>
      <c r="F34" s="17">
        <v>45000</v>
      </c>
      <c r="G34" s="18">
        <v>306000000</v>
      </c>
      <c r="H34" s="19"/>
      <c r="I34" s="19">
        <v>0.25</v>
      </c>
      <c r="J34" s="21">
        <v>0.3</v>
      </c>
      <c r="K34" s="15"/>
    </row>
    <row r="35" spans="1:12" ht="20" customHeight="1" x14ac:dyDescent="0.35">
      <c r="A35" s="15" t="s">
        <v>38</v>
      </c>
      <c r="B35" s="16">
        <v>3642518</v>
      </c>
      <c r="C35" s="15" t="s">
        <v>137</v>
      </c>
      <c r="D35" s="15" t="s">
        <v>138</v>
      </c>
      <c r="E35" s="15" t="s">
        <v>139</v>
      </c>
      <c r="F35" s="17">
        <v>20000</v>
      </c>
      <c r="G35" s="18">
        <v>231000000</v>
      </c>
      <c r="H35" s="19" t="s">
        <v>21</v>
      </c>
      <c r="I35" s="19" t="s">
        <v>141</v>
      </c>
      <c r="J35" s="19"/>
      <c r="K35" s="20">
        <v>11200</v>
      </c>
    </row>
    <row r="36" spans="1:12" ht="20" customHeight="1" x14ac:dyDescent="0.35">
      <c r="A36" s="15" t="s">
        <v>38</v>
      </c>
      <c r="B36" s="16">
        <v>3518885</v>
      </c>
      <c r="C36" s="15" t="s">
        <v>142</v>
      </c>
      <c r="D36" s="15" t="s">
        <v>143</v>
      </c>
      <c r="E36" s="15" t="s">
        <v>144</v>
      </c>
      <c r="F36" s="17">
        <v>9000</v>
      </c>
      <c r="G36" s="18">
        <v>165150000</v>
      </c>
      <c r="H36" s="19"/>
      <c r="I36" s="19">
        <v>0.25</v>
      </c>
      <c r="J36" s="21">
        <v>0.25</v>
      </c>
      <c r="K36" s="15"/>
    </row>
    <row r="37" spans="1:12" ht="20" customHeight="1" x14ac:dyDescent="0.35">
      <c r="A37" s="15" t="s">
        <v>38</v>
      </c>
      <c r="B37" s="16">
        <v>693740</v>
      </c>
      <c r="C37" s="15" t="s">
        <v>146</v>
      </c>
      <c r="D37" s="15" t="s">
        <v>147</v>
      </c>
      <c r="E37" s="15" t="s">
        <v>148</v>
      </c>
      <c r="F37" s="17">
        <v>50000</v>
      </c>
      <c r="G37" s="18">
        <v>515100000</v>
      </c>
      <c r="H37" s="19"/>
      <c r="I37" s="19">
        <v>0.15</v>
      </c>
      <c r="J37" s="21">
        <v>0.2</v>
      </c>
      <c r="K37" s="15"/>
    </row>
    <row r="38" spans="1:12" ht="20" customHeight="1" x14ac:dyDescent="0.35">
      <c r="A38" s="15" t="s">
        <v>38</v>
      </c>
      <c r="B38" s="16">
        <v>95773</v>
      </c>
      <c r="C38" s="15" t="s">
        <v>150</v>
      </c>
      <c r="D38" s="15" t="s">
        <v>151</v>
      </c>
      <c r="E38" s="15" t="s">
        <v>152</v>
      </c>
      <c r="F38" s="17">
        <v>40000</v>
      </c>
      <c r="G38" s="18">
        <v>1242000000</v>
      </c>
      <c r="H38" s="19"/>
      <c r="I38" s="19">
        <v>0.2</v>
      </c>
      <c r="J38" s="21">
        <v>0.25</v>
      </c>
      <c r="K38" s="15"/>
    </row>
    <row r="39" spans="1:12" ht="20" customHeight="1" x14ac:dyDescent="0.35">
      <c r="A39" s="15" t="s">
        <v>38</v>
      </c>
      <c r="B39" s="16">
        <v>13528</v>
      </c>
      <c r="C39" s="15" t="s">
        <v>155</v>
      </c>
      <c r="D39" s="15" t="s">
        <v>84</v>
      </c>
      <c r="E39" s="15" t="s">
        <v>156</v>
      </c>
      <c r="F39" s="17">
        <v>45000</v>
      </c>
      <c r="G39" s="18">
        <v>1026000000</v>
      </c>
      <c r="H39" s="19"/>
      <c r="I39" s="19">
        <v>0.2</v>
      </c>
      <c r="J39" s="21">
        <v>0.25</v>
      </c>
      <c r="K39" s="15"/>
    </row>
    <row r="40" spans="1:12" ht="20" customHeight="1" x14ac:dyDescent="0.35">
      <c r="A40" s="15" t="s">
        <v>185</v>
      </c>
      <c r="B40" s="16">
        <v>495615</v>
      </c>
      <c r="C40" s="15" t="s">
        <v>186</v>
      </c>
      <c r="D40" s="15" t="s">
        <v>108</v>
      </c>
      <c r="E40" s="15" t="s">
        <v>187</v>
      </c>
      <c r="F40" s="17">
        <v>3400</v>
      </c>
      <c r="G40" s="18">
        <v>483741800</v>
      </c>
      <c r="H40" s="19"/>
      <c r="I40" s="19">
        <v>0.27</v>
      </c>
      <c r="J40" s="21">
        <v>0.3</v>
      </c>
      <c r="K40" s="15"/>
    </row>
    <row r="42" spans="1:12" ht="20" customHeight="1" x14ac:dyDescent="0.45">
      <c r="A42" s="50" t="s">
        <v>188</v>
      </c>
      <c r="B42" s="50"/>
      <c r="C42" s="50"/>
      <c r="F42" s="26"/>
      <c r="G42" s="27"/>
      <c r="H42" s="28"/>
      <c r="I42" s="28"/>
      <c r="J42" s="28"/>
    </row>
    <row r="44" spans="1:12" ht="16" x14ac:dyDescent="0.4">
      <c r="F44" s="6">
        <f>SUBTOTAL(9,F46:F55)</f>
        <v>202581</v>
      </c>
      <c r="G44" s="7">
        <f>SUBTOTAL(9,G46:G55)</f>
        <v>5610309610</v>
      </c>
    </row>
    <row r="45" spans="1:12" ht="29" x14ac:dyDescent="0.35">
      <c r="A45" s="8" t="s">
        <v>0</v>
      </c>
      <c r="B45" s="8" t="s">
        <v>1</v>
      </c>
      <c r="C45" s="8" t="s">
        <v>2</v>
      </c>
      <c r="D45" s="8" t="s">
        <v>3</v>
      </c>
      <c r="E45" s="8" t="s">
        <v>4</v>
      </c>
      <c r="F45" s="8" t="s">
        <v>9</v>
      </c>
      <c r="G45" s="10" t="s">
        <v>10</v>
      </c>
      <c r="H45" s="11" t="s">
        <v>11</v>
      </c>
      <c r="I45" s="8" t="s">
        <v>12</v>
      </c>
      <c r="J45" s="12" t="s">
        <v>13</v>
      </c>
      <c r="K45" s="13" t="s">
        <v>14</v>
      </c>
      <c r="L45" s="9" t="s">
        <v>157</v>
      </c>
    </row>
    <row r="46" spans="1:12" ht="20" customHeight="1" x14ac:dyDescent="0.35">
      <c r="A46" s="15" t="s">
        <v>15</v>
      </c>
      <c r="B46" s="16">
        <v>3333394</v>
      </c>
      <c r="C46" s="15" t="s">
        <v>159</v>
      </c>
      <c r="D46" s="15" t="s">
        <v>160</v>
      </c>
      <c r="E46" s="15" t="s">
        <v>161</v>
      </c>
      <c r="F46" s="29">
        <v>40000</v>
      </c>
      <c r="G46" s="33">
        <v>1196000000</v>
      </c>
      <c r="H46" s="33" t="s">
        <v>21</v>
      </c>
      <c r="I46" s="34">
        <v>0.17</v>
      </c>
      <c r="J46" s="34"/>
      <c r="K46" s="35">
        <v>29.9</v>
      </c>
      <c r="L46" s="15" t="s">
        <v>158</v>
      </c>
    </row>
    <row r="47" spans="1:12" ht="20" customHeight="1" x14ac:dyDescent="0.35">
      <c r="A47" s="15" t="s">
        <v>38</v>
      </c>
      <c r="B47" s="16">
        <v>3036219</v>
      </c>
      <c r="C47" s="15" t="s">
        <v>162</v>
      </c>
      <c r="D47" s="15" t="s">
        <v>163</v>
      </c>
      <c r="E47" s="15" t="s">
        <v>164</v>
      </c>
      <c r="F47" s="29">
        <v>30000</v>
      </c>
      <c r="G47" s="30">
        <v>1136250000</v>
      </c>
      <c r="H47" s="30"/>
      <c r="I47" s="31">
        <v>0.2</v>
      </c>
      <c r="J47" s="32">
        <v>0.25</v>
      </c>
      <c r="K47" s="15"/>
      <c r="L47" s="15" t="s">
        <v>158</v>
      </c>
    </row>
    <row r="48" spans="1:12" ht="20" customHeight="1" x14ac:dyDescent="0.35">
      <c r="A48" s="15" t="s">
        <v>38</v>
      </c>
      <c r="B48" s="16">
        <v>923594</v>
      </c>
      <c r="C48" s="15" t="s">
        <v>165</v>
      </c>
      <c r="D48" s="15" t="s">
        <v>166</v>
      </c>
      <c r="E48" s="15" t="s">
        <v>167</v>
      </c>
      <c r="F48" s="29">
        <v>35000</v>
      </c>
      <c r="G48" s="30">
        <v>862890000</v>
      </c>
      <c r="H48" s="30"/>
      <c r="I48" s="31">
        <v>0.16</v>
      </c>
      <c r="J48" s="32">
        <v>0.2</v>
      </c>
      <c r="K48" s="15"/>
      <c r="L48" s="15" t="s">
        <v>158</v>
      </c>
    </row>
    <row r="49" spans="1:12" ht="20" customHeight="1" x14ac:dyDescent="0.35">
      <c r="A49" s="15" t="s">
        <v>38</v>
      </c>
      <c r="B49" s="16">
        <v>1151096</v>
      </c>
      <c r="C49" s="15" t="s">
        <v>168</v>
      </c>
      <c r="D49" s="15" t="s">
        <v>169</v>
      </c>
      <c r="E49" s="15" t="s">
        <v>170</v>
      </c>
      <c r="F49" s="29">
        <v>6000</v>
      </c>
      <c r="G49" s="30">
        <v>764550000</v>
      </c>
      <c r="H49" s="30"/>
      <c r="I49" s="31">
        <v>0.25</v>
      </c>
      <c r="J49" s="32">
        <v>0.25</v>
      </c>
      <c r="K49" s="15"/>
      <c r="L49" s="15" t="s">
        <v>158</v>
      </c>
    </row>
    <row r="50" spans="1:12" ht="20" customHeight="1" x14ac:dyDescent="0.35">
      <c r="A50" s="15" t="s">
        <v>82</v>
      </c>
      <c r="B50" s="16">
        <v>813514</v>
      </c>
      <c r="C50" s="15" t="s">
        <v>173</v>
      </c>
      <c r="D50" s="15" t="s">
        <v>174</v>
      </c>
      <c r="E50" s="15" t="s">
        <v>175</v>
      </c>
      <c r="F50" s="29">
        <v>41981</v>
      </c>
      <c r="G50" s="30">
        <v>663719610</v>
      </c>
      <c r="H50" s="30"/>
      <c r="I50" s="31">
        <v>0.15</v>
      </c>
      <c r="J50" s="32">
        <v>0.2</v>
      </c>
      <c r="K50" s="15"/>
      <c r="L50" s="15" t="s">
        <v>158</v>
      </c>
    </row>
    <row r="51" spans="1:12" ht="20" customHeight="1" x14ac:dyDescent="0.35">
      <c r="A51" s="15" t="s">
        <v>15</v>
      </c>
      <c r="B51" s="36">
        <v>3100456</v>
      </c>
      <c r="C51" s="25" t="s">
        <v>176</v>
      </c>
      <c r="D51" s="15" t="s">
        <v>177</v>
      </c>
      <c r="E51" s="15" t="s">
        <v>178</v>
      </c>
      <c r="F51" s="29">
        <v>13000</v>
      </c>
      <c r="G51" s="30">
        <v>541840000</v>
      </c>
      <c r="H51" s="30" t="s">
        <v>21</v>
      </c>
      <c r="I51" s="37" t="s">
        <v>179</v>
      </c>
      <c r="J51" s="37"/>
      <c r="K51" s="20">
        <v>42950</v>
      </c>
      <c r="L51" s="15" t="s">
        <v>158</v>
      </c>
    </row>
    <row r="52" spans="1:12" ht="20" customHeight="1" x14ac:dyDescent="0.35">
      <c r="A52" s="15" t="s">
        <v>38</v>
      </c>
      <c r="B52" s="16">
        <v>215766</v>
      </c>
      <c r="C52" s="15" t="s">
        <v>180</v>
      </c>
      <c r="D52" s="15" t="s">
        <v>181</v>
      </c>
      <c r="E52" s="15" t="s">
        <v>182</v>
      </c>
      <c r="F52" s="29">
        <v>10000</v>
      </c>
      <c r="G52" s="30">
        <v>196350000</v>
      </c>
      <c r="H52" s="30"/>
      <c r="I52" s="31">
        <v>0.3</v>
      </c>
      <c r="J52" s="32">
        <v>0.3</v>
      </c>
      <c r="K52" s="15"/>
      <c r="L52" s="15" t="s">
        <v>158</v>
      </c>
    </row>
    <row r="53" spans="1:12" ht="20" customHeight="1" x14ac:dyDescent="0.35">
      <c r="A53" s="15" t="s">
        <v>38</v>
      </c>
      <c r="B53" s="16">
        <v>304612</v>
      </c>
      <c r="C53" s="15" t="s">
        <v>183</v>
      </c>
      <c r="D53" s="15" t="s">
        <v>84</v>
      </c>
      <c r="E53" s="15" t="s">
        <v>184</v>
      </c>
      <c r="F53" s="29">
        <v>26600</v>
      </c>
      <c r="G53" s="30">
        <v>248710000</v>
      </c>
      <c r="H53" s="30"/>
      <c r="I53" s="31">
        <v>0.35</v>
      </c>
      <c r="J53" s="32">
        <v>0.4</v>
      </c>
      <c r="K53" s="15"/>
      <c r="L53" s="15" t="s">
        <v>158</v>
      </c>
    </row>
  </sheetData>
  <sheetProtection formatCells="0" formatColumns="0" formatRows="0" sort="0" autoFilter="0"/>
  <mergeCells count="2">
    <mergeCell ref="A1:C1"/>
    <mergeCell ref="A42:C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Favoritos masivos</vt:lpstr>
      <vt:lpstr>Favoritos cliente alto</vt:lpstr>
      <vt:lpstr>90 cliente Alto</vt:lpstr>
      <vt:lpstr>Favoritos selec (2)</vt:lpstr>
    </vt:vector>
  </TitlesOfParts>
  <Company>Almacenes Exito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Deisy Yoana Arango</dc:creator>
  <cp:lastModifiedBy>Luis Miguel Montoya Montoya</cp:lastModifiedBy>
  <dcterms:created xsi:type="dcterms:W3CDTF">2026-05-14T19:10:59Z</dcterms:created>
  <dcterms:modified xsi:type="dcterms:W3CDTF">2026-06-17T14:47:55Z</dcterms:modified>
</cp:coreProperties>
</file>